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ni\practice\load-balancing-algorithms\final_report\"/>
    </mc:Choice>
  </mc:AlternateContent>
  <xr:revisionPtr revIDLastSave="0" documentId="13_ncr:1_{05AB176D-3A3D-4213-813A-DFDF081815F8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RoundRobin" sheetId="3" r:id="rId1"/>
    <sheet name="WeightRoundRobin" sheetId="4" r:id="rId2"/>
    <sheet name="LeastConnections" sheetId="2" r:id="rId3"/>
    <sheet name="ConsistentHashing" sheetId="1" r:id="rId4"/>
  </sheets>
  <calcPr calcId="181029"/>
</workbook>
</file>

<file path=xl/calcChain.xml><?xml version="1.0" encoding="utf-8"?>
<calcChain xmlns="http://schemas.openxmlformats.org/spreadsheetml/2006/main">
  <c r="G27" i="4" l="1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</calcChain>
</file>

<file path=xl/sharedStrings.xml><?xml version="1.0" encoding="utf-8"?>
<sst xmlns="http://schemas.openxmlformats.org/spreadsheetml/2006/main" count="164" uniqueCount="41">
  <si>
    <t>name</t>
  </si>
  <si>
    <t>latency.mean</t>
  </si>
  <si>
    <t>latency.percentiles.p50</t>
  </si>
  <si>
    <t>latency.percentiles.p95</t>
  </si>
  <si>
    <t>latency.percentiles.p99</t>
  </si>
  <si>
    <t>totals.throughput_rps</t>
  </si>
  <si>
    <t>servers[0].avg_load</t>
  </si>
  <si>
    <t>servers[1].avg_load</t>
  </si>
  <si>
    <t>servers[2].avg_load</t>
  </si>
  <si>
    <t>servers[3].avg_load</t>
  </si>
  <si>
    <t>servers[4].avg_load</t>
  </si>
  <si>
    <t>servers[5].avg_load</t>
  </si>
  <si>
    <t>servers[6].avg_load</t>
  </si>
  <si>
    <t>servers[7].avg_load</t>
  </si>
  <si>
    <t>burstNorm_easy</t>
  </si>
  <si>
    <t>burstNorm_medium</t>
  </si>
  <si>
    <t>burstNorm_hard</t>
  </si>
  <si>
    <t>burstNormHMS_easy</t>
  </si>
  <si>
    <t>burstNormHMS_medium</t>
  </si>
  <si>
    <t>burstNormHMS_hard</t>
  </si>
  <si>
    <t>churnHMS</t>
  </si>
  <si>
    <t>churnGood</t>
  </si>
  <si>
    <t>churnBad</t>
  </si>
  <si>
    <t>perfect_easy</t>
  </si>
  <si>
    <t>perfect_medium</t>
  </si>
  <si>
    <t>perfect_hard</t>
  </si>
  <si>
    <t>stickyDefault</t>
  </si>
  <si>
    <t>stickyChurn</t>
  </si>
  <si>
    <t>uniform_easy</t>
  </si>
  <si>
    <t>uniform_medium</t>
  </si>
  <si>
    <t>uniform_hard</t>
  </si>
  <si>
    <t>uniformD_easy</t>
  </si>
  <si>
    <t>uniformD_medium</t>
  </si>
  <si>
    <t>uniformD_hard</t>
  </si>
  <si>
    <t>varReqCost_easy</t>
  </si>
  <si>
    <t>varReqCost_medium</t>
  </si>
  <si>
    <t>varReqCost_hard</t>
  </si>
  <si>
    <t>varReqCostHMS_easy</t>
  </si>
  <si>
    <t>varReqCostHMS_medium</t>
  </si>
  <si>
    <t>varReqCostHMS_hard</t>
  </si>
  <si>
    <t>disparity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</si>
</sst>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workbookViewId="0">
      <selection activeCell="F29" sqref="F29"/>
    </sheetView>
  </sheetViews>
  <sheetFormatPr defaultRowHeight="15" x14ac:dyDescent="0.25"/>
  <cols>
    <col min="1" max="7" width="20.7109375" customWidth="1"/>
    <col min="8" max="15" width="9.140625" style="6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40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 t="s">
        <v>13</v>
      </c>
    </row>
    <row r="2" spans="1:15" x14ac:dyDescent="0.25">
      <c r="A2" t="s">
        <v>14</v>
      </c>
      <c r="B2">
        <v>28.978999999999999</v>
      </c>
      <c r="C2">
        <v>15</v>
      </c>
      <c r="D2">
        <v>75</v>
      </c>
      <c r="E2">
        <v>76</v>
      </c>
      <c r="F2">
        <v>66.631130063965884</v>
      </c>
      <c r="G2">
        <f>_xlfn.STDEV.P(H2:O2)/AVERAGE(H2:O2)</f>
        <v>1.1155858173046926</v>
      </c>
      <c r="H2" s="6">
        <v>0.65165540300000357</v>
      </c>
      <c r="I2" s="6">
        <v>0.2788097749999997</v>
      </c>
      <c r="J2" s="6">
        <v>1.4234108000000001E-2</v>
      </c>
      <c r="K2" s="6">
        <v>1.7040820000000011E-3</v>
      </c>
    </row>
    <row r="3" spans="1:15" x14ac:dyDescent="0.25">
      <c r="A3" t="s">
        <v>15</v>
      </c>
      <c r="B3">
        <v>102.359911406423</v>
      </c>
      <c r="C3">
        <v>76</v>
      </c>
      <c r="D3">
        <v>212</v>
      </c>
      <c r="E3">
        <v>213</v>
      </c>
      <c r="F3">
        <v>45.116162877841617</v>
      </c>
      <c r="G3">
        <f t="shared" ref="G3:G27" si="0">_xlfn.STDEV.P(H3:O3)/AVERAGE(H3:O3)</f>
        <v>1.6766288181547193</v>
      </c>
      <c r="H3" s="6">
        <v>1.7048950163398701E-2</v>
      </c>
      <c r="I3" s="6">
        <v>1.4220599999999911E-4</v>
      </c>
      <c r="J3" s="6">
        <v>2.7817466666666622E-4</v>
      </c>
      <c r="K3" s="6">
        <v>0</v>
      </c>
    </row>
    <row r="4" spans="1:15" x14ac:dyDescent="0.25">
      <c r="A4" t="s">
        <v>16</v>
      </c>
      <c r="B4">
        <v>808.37401574803152</v>
      </c>
      <c r="C4">
        <v>668</v>
      </c>
      <c r="D4">
        <v>2012</v>
      </c>
      <c r="E4">
        <v>2015</v>
      </c>
      <c r="F4">
        <v>8.463563360101297</v>
      </c>
      <c r="G4">
        <f t="shared" si="0"/>
        <v>1.7320508075688774</v>
      </c>
      <c r="H4" s="6">
        <v>0</v>
      </c>
      <c r="I4" s="6">
        <v>0</v>
      </c>
      <c r="J4" s="6">
        <v>1.711478618421052E-3</v>
      </c>
      <c r="K4" s="6">
        <v>0</v>
      </c>
    </row>
    <row r="5" spans="1:15" x14ac:dyDescent="0.25">
      <c r="A5" t="s">
        <v>17</v>
      </c>
      <c r="B5">
        <v>23.388999999999999</v>
      </c>
      <c r="C5">
        <v>29</v>
      </c>
      <c r="D5">
        <v>44</v>
      </c>
      <c r="E5">
        <v>45</v>
      </c>
      <c r="F5">
        <v>66.657778962804954</v>
      </c>
      <c r="G5">
        <f t="shared" si="0"/>
        <v>4.4979233727562191E-2</v>
      </c>
      <c r="H5" s="6">
        <v>0.38265593299999928</v>
      </c>
      <c r="I5" s="6">
        <v>0.4093012949999999</v>
      </c>
      <c r="J5" s="6">
        <v>0.36148984299999948</v>
      </c>
      <c r="K5" s="6">
        <v>0.37742407099999908</v>
      </c>
    </row>
    <row r="6" spans="1:15" x14ac:dyDescent="0.25">
      <c r="A6" t="s">
        <v>18</v>
      </c>
      <c r="B6">
        <v>105.526</v>
      </c>
      <c r="C6">
        <v>105</v>
      </c>
      <c r="D6">
        <v>107</v>
      </c>
      <c r="E6">
        <v>108</v>
      </c>
      <c r="F6">
        <v>49.962528103922047</v>
      </c>
      <c r="G6">
        <f t="shared" si="0"/>
        <v>0.98474853206678781</v>
      </c>
      <c r="H6" s="6">
        <v>8.3496669999999981E-3</v>
      </c>
      <c r="I6" s="6">
        <v>5.0432999999999732E-5</v>
      </c>
      <c r="J6" s="6">
        <v>1.4981199999999941E-4</v>
      </c>
      <c r="K6" s="6">
        <v>9.8192240000000031E-3</v>
      </c>
    </row>
    <row r="7" spans="1:15" x14ac:dyDescent="0.25">
      <c r="A7" t="s">
        <v>19</v>
      </c>
      <c r="B7">
        <v>1011.153465346535</v>
      </c>
      <c r="C7">
        <v>1012</v>
      </c>
      <c r="D7">
        <v>1015</v>
      </c>
      <c r="E7">
        <v>1024</v>
      </c>
      <c r="F7">
        <v>6.7317625887292962</v>
      </c>
      <c r="G7">
        <f t="shared" si="0"/>
        <v>1.7320508075688774</v>
      </c>
      <c r="H7" s="6">
        <v>0</v>
      </c>
      <c r="I7" s="6">
        <v>3.4758186274509669E-3</v>
      </c>
      <c r="J7" s="6">
        <v>0</v>
      </c>
      <c r="K7" s="6">
        <v>0</v>
      </c>
    </row>
    <row r="8" spans="1:15" x14ac:dyDescent="0.25">
      <c r="A8" t="s">
        <v>20</v>
      </c>
      <c r="B8">
        <v>105.345251396648</v>
      </c>
      <c r="C8">
        <v>105</v>
      </c>
      <c r="D8">
        <v>107</v>
      </c>
      <c r="E8">
        <v>107</v>
      </c>
      <c r="F8">
        <v>29.819417605117611</v>
      </c>
      <c r="G8">
        <f t="shared" si="0"/>
        <v>0.828045693775319</v>
      </c>
      <c r="H8" s="6">
        <v>9.0842741935483814E-4</v>
      </c>
      <c r="I8" s="6">
        <v>4.3272354368932026E-3</v>
      </c>
      <c r="J8" s="6">
        <v>4.8548676470588237E-3</v>
      </c>
      <c r="K8" s="6">
        <v>1.3668E-2</v>
      </c>
      <c r="L8" s="6">
        <v>1.371905487804878E-3</v>
      </c>
      <c r="M8" s="6">
        <v>7.5478070652173898E-3</v>
      </c>
      <c r="N8" s="6">
        <v>4.3722499999999994E-3</v>
      </c>
      <c r="O8" s="6">
        <v>1.2773249999999999E-3</v>
      </c>
    </row>
    <row r="9" spans="1:15" x14ac:dyDescent="0.25">
      <c r="A9" t="s">
        <v>21</v>
      </c>
      <c r="B9">
        <v>146.87338129496399</v>
      </c>
      <c r="C9">
        <v>106</v>
      </c>
      <c r="D9">
        <v>213</v>
      </c>
      <c r="E9">
        <v>214</v>
      </c>
      <c r="F9">
        <v>23.158947017660779</v>
      </c>
      <c r="G9">
        <f t="shared" si="0"/>
        <v>1.3268526549502142</v>
      </c>
      <c r="H9" s="6">
        <v>1.7091142543859641E-2</v>
      </c>
      <c r="I9" s="6">
        <v>7.4376213592233006E-4</v>
      </c>
      <c r="J9" s="6">
        <v>1.802341176470588E-3</v>
      </c>
      <c r="K9" s="6">
        <v>3.8013725961538441E-3</v>
      </c>
      <c r="L9" s="6">
        <v>2.8786585365853508E-5</v>
      </c>
      <c r="M9" s="6">
        <v>1.106195652173911E-4</v>
      </c>
      <c r="N9" s="6">
        <v>1.7510909090909091E-2</v>
      </c>
      <c r="O9" s="6">
        <v>1.2501583333333331E-3</v>
      </c>
    </row>
    <row r="10" spans="1:15" x14ac:dyDescent="0.25">
      <c r="A10" t="s">
        <v>22</v>
      </c>
      <c r="B10">
        <v>83.073333333333338</v>
      </c>
      <c r="C10">
        <v>74</v>
      </c>
      <c r="D10">
        <v>209</v>
      </c>
      <c r="E10">
        <v>212</v>
      </c>
      <c r="F10">
        <v>29.997000299970001</v>
      </c>
      <c r="G10">
        <f t="shared" si="0"/>
        <v>0.93608627759482443</v>
      </c>
      <c r="H10" s="6">
        <v>4.9550431034482755E-4</v>
      </c>
      <c r="I10" s="6">
        <v>1.044786363636363E-3</v>
      </c>
      <c r="J10" s="6">
        <v>7.4742499999999974E-3</v>
      </c>
      <c r="K10" s="6">
        <v>1.0168507100149469E-3</v>
      </c>
      <c r="L10" s="6">
        <v>2.3128689024390242E-3</v>
      </c>
      <c r="M10" s="6">
        <v>7.4614661458333254E-3</v>
      </c>
      <c r="N10" s="6">
        <v>4.9669083333333331E-3</v>
      </c>
      <c r="O10" s="6">
        <v>0</v>
      </c>
    </row>
    <row r="11" spans="1:15" x14ac:dyDescent="0.25">
      <c r="A11" t="s">
        <v>23</v>
      </c>
      <c r="B11">
        <v>14.353</v>
      </c>
      <c r="C11">
        <v>14</v>
      </c>
      <c r="D11">
        <v>15</v>
      </c>
      <c r="E11">
        <v>15</v>
      </c>
      <c r="F11">
        <v>66.653335999466776</v>
      </c>
      <c r="G11">
        <f t="shared" si="0"/>
        <v>0.19717574689698392</v>
      </c>
      <c r="H11" s="6">
        <v>1.3399659999999999E-3</v>
      </c>
      <c r="I11" s="6">
        <v>1.7943729999999999E-3</v>
      </c>
      <c r="J11" s="6">
        <v>2.3472219999999999E-3</v>
      </c>
      <c r="K11" s="6">
        <v>1.7710860000000001E-3</v>
      </c>
    </row>
    <row r="12" spans="1:15" x14ac:dyDescent="0.25">
      <c r="A12" t="s">
        <v>24</v>
      </c>
      <c r="B12">
        <v>105.488</v>
      </c>
      <c r="C12">
        <v>105</v>
      </c>
      <c r="D12">
        <v>107</v>
      </c>
      <c r="E12">
        <v>108</v>
      </c>
      <c r="F12">
        <v>66.640010662401707</v>
      </c>
      <c r="G12">
        <f t="shared" si="0"/>
        <v>0.67757191263678196</v>
      </c>
      <c r="H12" s="6">
        <v>1.8649651999999999E-2</v>
      </c>
      <c r="I12" s="6">
        <v>1.0058077E-2</v>
      </c>
      <c r="J12" s="6">
        <v>1.0044311E-2</v>
      </c>
      <c r="K12" s="6">
        <v>7.3377999999999635E-5</v>
      </c>
    </row>
    <row r="13" spans="1:15" x14ac:dyDescent="0.25">
      <c r="A13" t="s">
        <v>25</v>
      </c>
      <c r="B13">
        <v>1008.08</v>
      </c>
      <c r="C13">
        <v>1010</v>
      </c>
      <c r="D13">
        <v>1014</v>
      </c>
      <c r="E13">
        <v>1015</v>
      </c>
      <c r="F13">
        <v>6.6635570067301924</v>
      </c>
      <c r="G13" t="e">
        <f t="shared" si="0"/>
        <v>#DIV/0!</v>
      </c>
      <c r="H13" s="6">
        <v>0</v>
      </c>
      <c r="I13" s="6">
        <v>0</v>
      </c>
      <c r="J13" s="6">
        <v>0</v>
      </c>
      <c r="K13" s="6">
        <v>0</v>
      </c>
    </row>
    <row r="14" spans="1:15" x14ac:dyDescent="0.25">
      <c r="A14" t="s">
        <v>26</v>
      </c>
      <c r="B14">
        <v>112.6744791666667</v>
      </c>
      <c r="C14">
        <v>102</v>
      </c>
      <c r="D14">
        <v>212</v>
      </c>
      <c r="E14">
        <v>213</v>
      </c>
      <c r="F14">
        <v>25.581240423689291</v>
      </c>
      <c r="G14">
        <f t="shared" si="0"/>
        <v>1.3944431402842412</v>
      </c>
      <c r="H14" s="6">
        <v>1.864846614583333E-2</v>
      </c>
      <c r="I14" s="6">
        <v>3.1451093749999999E-3</v>
      </c>
      <c r="J14" s="6">
        <v>2.5080295138888852E-4</v>
      </c>
      <c r="K14" s="6">
        <v>0</v>
      </c>
    </row>
    <row r="15" spans="1:15" x14ac:dyDescent="0.25">
      <c r="A15" t="s">
        <v>27</v>
      </c>
      <c r="B15">
        <v>84.656424581005581</v>
      </c>
      <c r="C15">
        <v>104</v>
      </c>
      <c r="D15">
        <v>106</v>
      </c>
      <c r="E15">
        <v>107</v>
      </c>
      <c r="F15">
        <v>23.846000133217881</v>
      </c>
      <c r="G15">
        <f t="shared" si="0"/>
        <v>2.5835105025853964</v>
      </c>
      <c r="H15" s="6">
        <v>4.5143639053254418E-4</v>
      </c>
      <c r="I15" s="6">
        <v>0</v>
      </c>
      <c r="J15" s="6">
        <v>0</v>
      </c>
      <c r="K15" s="6">
        <v>9.5769230769230474E-6</v>
      </c>
      <c r="L15" s="6">
        <v>0</v>
      </c>
      <c r="M15" s="6">
        <v>0</v>
      </c>
      <c r="N15" s="6">
        <v>0</v>
      </c>
      <c r="O15" s="6">
        <v>0</v>
      </c>
    </row>
    <row r="16" spans="1:15" x14ac:dyDescent="0.25">
      <c r="A16" t="s">
        <v>28</v>
      </c>
      <c r="B16">
        <v>14.401999999999999</v>
      </c>
      <c r="C16">
        <v>14</v>
      </c>
      <c r="D16">
        <v>15</v>
      </c>
      <c r="E16">
        <v>15</v>
      </c>
      <c r="F16">
        <v>66.608938919603006</v>
      </c>
      <c r="G16">
        <f t="shared" si="0"/>
        <v>1.3844810621983143</v>
      </c>
      <c r="H16" s="6">
        <v>6.8476204999999993E-3</v>
      </c>
      <c r="I16" s="6">
        <v>1.0751980000000001E-3</v>
      </c>
      <c r="J16" s="6">
        <v>1.9767716666666671E-4</v>
      </c>
      <c r="K16" s="6">
        <v>0</v>
      </c>
    </row>
    <row r="17" spans="1:11" x14ac:dyDescent="0.25">
      <c r="A17" t="s">
        <v>29</v>
      </c>
      <c r="B17">
        <v>100.9280898876405</v>
      </c>
      <c r="C17">
        <v>76</v>
      </c>
      <c r="D17">
        <v>212</v>
      </c>
      <c r="E17">
        <v>214</v>
      </c>
      <c r="F17">
        <v>59.301705756929643</v>
      </c>
      <c r="G17">
        <f t="shared" si="0"/>
        <v>1.2888387484831758</v>
      </c>
      <c r="H17" s="6">
        <v>1.970148482142858E-2</v>
      </c>
      <c r="I17" s="6">
        <v>3.9874949999999998E-3</v>
      </c>
      <c r="J17" s="6">
        <v>7.4449783333333235E-4</v>
      </c>
      <c r="K17" s="6">
        <v>2.29282E-4</v>
      </c>
    </row>
    <row r="18" spans="1:11" x14ac:dyDescent="0.25">
      <c r="A18" t="s">
        <v>30</v>
      </c>
      <c r="B18">
        <v>920.3295454545455</v>
      </c>
      <c r="C18">
        <v>680</v>
      </c>
      <c r="D18">
        <v>2007</v>
      </c>
      <c r="E18">
        <v>2013</v>
      </c>
      <c r="F18">
        <v>5.8658845487268358</v>
      </c>
      <c r="G18">
        <f t="shared" si="0"/>
        <v>1.7320508075688774</v>
      </c>
      <c r="H18" s="6">
        <v>0</v>
      </c>
      <c r="I18" s="6">
        <v>0</v>
      </c>
      <c r="J18" s="6">
        <v>0</v>
      </c>
      <c r="K18" s="6">
        <v>2.4567600000000001E-3</v>
      </c>
    </row>
    <row r="19" spans="1:11" x14ac:dyDescent="0.25">
      <c r="A19" t="s">
        <v>31</v>
      </c>
      <c r="B19">
        <v>14.423</v>
      </c>
      <c r="C19">
        <v>14</v>
      </c>
      <c r="D19">
        <v>15</v>
      </c>
      <c r="E19">
        <v>15</v>
      </c>
      <c r="F19">
        <v>66.600066600066597</v>
      </c>
      <c r="G19">
        <f t="shared" si="0"/>
        <v>1.4353807812880515</v>
      </c>
      <c r="H19" s="6">
        <v>8.3182719607456865E-3</v>
      </c>
      <c r="I19" s="6">
        <v>1.0665037235644951E-3</v>
      </c>
      <c r="J19" s="6">
        <v>2.0594558861484821E-4</v>
      </c>
      <c r="K19" s="6">
        <v>0</v>
      </c>
    </row>
    <row r="20" spans="1:11" x14ac:dyDescent="0.25">
      <c r="A20" t="s">
        <v>32</v>
      </c>
      <c r="B20">
        <v>99.865470852017935</v>
      </c>
      <c r="C20">
        <v>76</v>
      </c>
      <c r="D20">
        <v>227</v>
      </c>
      <c r="E20">
        <v>273</v>
      </c>
      <c r="F20">
        <v>59.454775711524363</v>
      </c>
      <c r="G20">
        <f t="shared" si="0"/>
        <v>0.81779395039799352</v>
      </c>
      <c r="H20" s="6">
        <v>2.5288783473111649E-2</v>
      </c>
      <c r="I20" s="6">
        <v>9.0878574212760709E-3</v>
      </c>
      <c r="J20" s="6">
        <v>5.5846239678979731E-3</v>
      </c>
      <c r="K20" s="6">
        <v>2.743039802062698E-3</v>
      </c>
    </row>
    <row r="21" spans="1:11" x14ac:dyDescent="0.25">
      <c r="A21" t="s">
        <v>33</v>
      </c>
      <c r="B21">
        <v>942.82022471910113</v>
      </c>
      <c r="C21">
        <v>768</v>
      </c>
      <c r="D21">
        <v>2299</v>
      </c>
      <c r="E21">
        <v>2808</v>
      </c>
      <c r="F21">
        <v>5.9325423276896414</v>
      </c>
      <c r="G21">
        <f t="shared" si="0"/>
        <v>1.532659273350226</v>
      </c>
      <c r="H21" s="6">
        <v>0.1199416787368737</v>
      </c>
      <c r="I21" s="6">
        <v>0</v>
      </c>
      <c r="J21" s="6">
        <v>9.2987708872467427E-3</v>
      </c>
      <c r="K21" s="6">
        <v>2.2570028232957368E-3</v>
      </c>
    </row>
    <row r="22" spans="1:11" x14ac:dyDescent="0.25">
      <c r="A22" t="s">
        <v>34</v>
      </c>
      <c r="B22">
        <v>101.75826681870009</v>
      </c>
      <c r="C22">
        <v>77</v>
      </c>
      <c r="D22">
        <v>316</v>
      </c>
      <c r="E22">
        <v>408</v>
      </c>
      <c r="F22">
        <v>58.419930722088992</v>
      </c>
      <c r="G22">
        <f t="shared" si="0"/>
        <v>0.7443923840632698</v>
      </c>
      <c r="H22" s="6">
        <v>3.0845361894553312E-2</v>
      </c>
      <c r="I22" s="6">
        <v>1.331588796790407E-2</v>
      </c>
      <c r="J22" s="6">
        <v>7.7933215485099161E-3</v>
      </c>
      <c r="K22" s="6">
        <v>3.692471079956198E-3</v>
      </c>
    </row>
    <row r="23" spans="1:11" x14ac:dyDescent="0.25">
      <c r="A23" t="s">
        <v>35</v>
      </c>
      <c r="B23">
        <v>466.29050279329613</v>
      </c>
      <c r="C23">
        <v>407</v>
      </c>
      <c r="D23">
        <v>1289</v>
      </c>
      <c r="E23">
        <v>1994</v>
      </c>
      <c r="F23">
        <v>11.92141192141192</v>
      </c>
      <c r="G23">
        <f t="shared" si="0"/>
        <v>1.0141855919425138</v>
      </c>
      <c r="H23" s="6">
        <v>8.0235990846370162E-2</v>
      </c>
      <c r="I23" s="6">
        <v>2.8548977831018521E-2</v>
      </c>
      <c r="J23" s="6">
        <v>1.1022679507945081E-2</v>
      </c>
      <c r="K23" s="6">
        <v>7.833556156579696E-4</v>
      </c>
    </row>
    <row r="24" spans="1:11" x14ac:dyDescent="0.25">
      <c r="A24" t="s">
        <v>36</v>
      </c>
      <c r="B24">
        <v>1101.3498349834981</v>
      </c>
      <c r="C24">
        <v>966</v>
      </c>
      <c r="D24">
        <v>2492</v>
      </c>
      <c r="E24">
        <v>4198</v>
      </c>
      <c r="F24">
        <v>6.0585459489722462</v>
      </c>
      <c r="G24">
        <f t="shared" si="0"/>
        <v>0.4557310474128714</v>
      </c>
      <c r="H24" s="6">
        <v>2.0198931282346198E-2</v>
      </c>
      <c r="I24" s="6">
        <v>2.1684186311040628E-2</v>
      </c>
      <c r="J24" s="6">
        <v>2.0465875966478801E-2</v>
      </c>
      <c r="K24" s="6">
        <v>3.5042389783685769E-3</v>
      </c>
    </row>
    <row r="25" spans="1:11" x14ac:dyDescent="0.25">
      <c r="A25" t="s">
        <v>37</v>
      </c>
      <c r="B25">
        <v>109.288</v>
      </c>
      <c r="C25">
        <v>107</v>
      </c>
      <c r="D25">
        <v>197</v>
      </c>
      <c r="E25">
        <v>211</v>
      </c>
      <c r="F25">
        <v>66.617813603357547</v>
      </c>
      <c r="G25">
        <f t="shared" si="0"/>
        <v>9.1821158225804222E-2</v>
      </c>
      <c r="H25" s="6">
        <v>1.0281488787849669E-2</v>
      </c>
      <c r="I25" s="6">
        <v>1.28641157030358E-2</v>
      </c>
      <c r="J25" s="6">
        <v>1.280097890780792E-2</v>
      </c>
      <c r="K25" s="6">
        <v>1.12874673885115E-2</v>
      </c>
    </row>
    <row r="26" spans="1:11" x14ac:dyDescent="0.25">
      <c r="A26" t="s">
        <v>38</v>
      </c>
      <c r="B26">
        <v>515.18499999999995</v>
      </c>
      <c r="C26">
        <v>529</v>
      </c>
      <c r="D26">
        <v>984</v>
      </c>
      <c r="E26">
        <v>1273</v>
      </c>
      <c r="F26">
        <v>13.322675193178791</v>
      </c>
      <c r="G26">
        <f t="shared" si="0"/>
        <v>0.40670753902980417</v>
      </c>
      <c r="H26" s="6">
        <v>1.3264278526905629E-2</v>
      </c>
      <c r="I26" s="6">
        <v>3.0698394503210259E-2</v>
      </c>
      <c r="J26" s="6">
        <v>4.2913729137815999E-2</v>
      </c>
      <c r="K26" s="6">
        <v>2.1505113397328059E-2</v>
      </c>
    </row>
    <row r="27" spans="1:11" x14ac:dyDescent="0.25">
      <c r="A27" t="s">
        <v>39</v>
      </c>
      <c r="B27">
        <v>1346.4912280701751</v>
      </c>
      <c r="C27">
        <v>1327</v>
      </c>
      <c r="D27">
        <v>2436</v>
      </c>
      <c r="E27">
        <v>2496</v>
      </c>
      <c r="F27">
        <v>5.6992021117043619</v>
      </c>
      <c r="G27">
        <f t="shared" si="0"/>
        <v>0.11018558503662185</v>
      </c>
      <c r="H27" s="6">
        <v>2.3357904474392309E-2</v>
      </c>
      <c r="I27" s="6">
        <v>2.5038098933540549E-2</v>
      </c>
      <c r="J27" s="6">
        <v>3.0927962309217079E-2</v>
      </c>
      <c r="K27" s="6">
        <v>2.869479942200049E-2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7"/>
  <sheetViews>
    <sheetView workbookViewId="0">
      <selection activeCell="E31" sqref="E31"/>
    </sheetView>
  </sheetViews>
  <sheetFormatPr defaultRowHeight="15" x14ac:dyDescent="0.25"/>
  <cols>
    <col min="1" max="7" width="20.7109375" customWidth="1"/>
    <col min="8" max="15" width="9.140625" style="6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40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 t="s">
        <v>13</v>
      </c>
    </row>
    <row r="2" spans="1:15" x14ac:dyDescent="0.25">
      <c r="A2" t="s">
        <v>14</v>
      </c>
      <c r="B2">
        <v>17.315999999999999</v>
      </c>
      <c r="C2">
        <v>15</v>
      </c>
      <c r="D2">
        <v>30</v>
      </c>
      <c r="E2">
        <v>45</v>
      </c>
      <c r="F2">
        <v>66.622251832111928</v>
      </c>
      <c r="G2">
        <f>_xlfn.STDEV.P(H2:O2)/AVERAGE(H2:O2)</f>
        <v>0.26650282703192607</v>
      </c>
      <c r="H2" s="6">
        <v>0.2396428737500001</v>
      </c>
      <c r="I2" s="6">
        <v>0.27135167999999982</v>
      </c>
      <c r="J2" s="6">
        <v>0.16184219402777791</v>
      </c>
      <c r="K2" s="6">
        <v>0.1396530087499995</v>
      </c>
    </row>
    <row r="3" spans="1:15" x14ac:dyDescent="0.25">
      <c r="A3" t="s">
        <v>15</v>
      </c>
      <c r="B3">
        <v>88.944999999999993</v>
      </c>
      <c r="C3">
        <v>75</v>
      </c>
      <c r="D3">
        <v>212</v>
      </c>
      <c r="E3">
        <v>213</v>
      </c>
      <c r="F3">
        <v>49.97501249375312</v>
      </c>
      <c r="G3">
        <f t="shared" ref="G3:G27" si="0">_xlfn.STDEV.P(H3:O3)/AVERAGE(H3:O3)</f>
        <v>0.64365519440639174</v>
      </c>
      <c r="H3" s="6">
        <v>2.6144535E-2</v>
      </c>
      <c r="I3" s="6">
        <v>1.412381375E-2</v>
      </c>
      <c r="J3" s="6">
        <v>0</v>
      </c>
      <c r="K3" s="6">
        <v>1.9566958750000009E-2</v>
      </c>
    </row>
    <row r="4" spans="1:15" x14ac:dyDescent="0.25">
      <c r="A4" t="s">
        <v>16</v>
      </c>
      <c r="B4">
        <v>811.00796812749002</v>
      </c>
      <c r="C4">
        <v>668</v>
      </c>
      <c r="D4">
        <v>2009</v>
      </c>
      <c r="E4">
        <v>2014</v>
      </c>
      <c r="F4">
        <v>8.3655512598320225</v>
      </c>
      <c r="G4" t="e">
        <f t="shared" si="0"/>
        <v>#DIV/0!</v>
      </c>
      <c r="H4" s="6">
        <v>0</v>
      </c>
      <c r="I4" s="6">
        <v>0</v>
      </c>
      <c r="J4" s="6">
        <v>0</v>
      </c>
      <c r="K4" s="6">
        <v>0</v>
      </c>
    </row>
    <row r="5" spans="1:15" x14ac:dyDescent="0.25">
      <c r="A5" t="s">
        <v>17</v>
      </c>
      <c r="B5">
        <v>25.643999999999998</v>
      </c>
      <c r="C5">
        <v>29</v>
      </c>
      <c r="D5">
        <v>45</v>
      </c>
      <c r="E5">
        <v>45</v>
      </c>
      <c r="F5">
        <v>66.644451849383529</v>
      </c>
      <c r="G5">
        <f t="shared" si="0"/>
        <v>3.5705328194434262E-2</v>
      </c>
      <c r="H5" s="6">
        <v>0.47977106799999902</v>
      </c>
      <c r="I5" s="6">
        <v>0.49028631499999958</v>
      </c>
      <c r="J5" s="6">
        <v>0.47560279499999952</v>
      </c>
      <c r="K5" s="6">
        <v>0.44492407299999942</v>
      </c>
    </row>
    <row r="6" spans="1:15" x14ac:dyDescent="0.25">
      <c r="A6" t="s">
        <v>18</v>
      </c>
      <c r="B6">
        <v>105.611</v>
      </c>
      <c r="C6">
        <v>105</v>
      </c>
      <c r="D6">
        <v>107</v>
      </c>
      <c r="E6">
        <v>110</v>
      </c>
      <c r="F6">
        <v>49.980007996801277</v>
      </c>
      <c r="G6">
        <f t="shared" si="0"/>
        <v>0.26763281294824376</v>
      </c>
      <c r="H6" s="6">
        <v>1.797210300000001E-2</v>
      </c>
      <c r="I6" s="6">
        <v>1.8863372E-2</v>
      </c>
      <c r="J6" s="6">
        <v>8.6029389999999969E-3</v>
      </c>
      <c r="K6" s="6">
        <v>1.8554528000000001E-2</v>
      </c>
    </row>
    <row r="7" spans="1:15" x14ac:dyDescent="0.25">
      <c r="A7" t="s">
        <v>19</v>
      </c>
      <c r="B7">
        <v>1019.205</v>
      </c>
      <c r="C7">
        <v>1011</v>
      </c>
      <c r="D7">
        <v>1014</v>
      </c>
      <c r="E7">
        <v>1439</v>
      </c>
      <c r="F7">
        <v>6.6660000666600014</v>
      </c>
      <c r="G7" t="e">
        <f t="shared" si="0"/>
        <v>#DIV/0!</v>
      </c>
      <c r="H7" s="6">
        <v>0</v>
      </c>
      <c r="I7" s="6">
        <v>0</v>
      </c>
      <c r="J7" s="6">
        <v>0</v>
      </c>
      <c r="K7" s="6">
        <v>0</v>
      </c>
    </row>
    <row r="8" spans="1:15" x14ac:dyDescent="0.25">
      <c r="A8" t="s">
        <v>20</v>
      </c>
      <c r="B8">
        <v>105.2707865168539</v>
      </c>
      <c r="C8">
        <v>105</v>
      </c>
      <c r="D8">
        <v>106</v>
      </c>
      <c r="E8">
        <v>116</v>
      </c>
      <c r="F8">
        <v>29.661723046158979</v>
      </c>
      <c r="G8">
        <f t="shared" si="0"/>
        <v>0.44167520966204449</v>
      </c>
      <c r="H8" s="6">
        <v>1.6131801605504589E-2</v>
      </c>
      <c r="I8" s="6">
        <v>1.3462377500000001E-2</v>
      </c>
      <c r="J8" s="6">
        <v>1.114468452380952E-2</v>
      </c>
      <c r="K8" s="6">
        <v>8.4271084183673451E-3</v>
      </c>
      <c r="L8" s="6">
        <v>9.9376202531645547E-3</v>
      </c>
      <c r="M8" s="6">
        <v>6.3346774193547947E-5</v>
      </c>
      <c r="N8" s="6">
        <v>1.058268333333333E-2</v>
      </c>
      <c r="O8" s="6">
        <v>9.3917583333333332E-3</v>
      </c>
    </row>
    <row r="9" spans="1:15" x14ac:dyDescent="0.25">
      <c r="A9" t="s">
        <v>21</v>
      </c>
      <c r="B9">
        <v>142.80880330123799</v>
      </c>
      <c r="C9">
        <v>106</v>
      </c>
      <c r="D9">
        <v>212</v>
      </c>
      <c r="E9">
        <v>214</v>
      </c>
      <c r="F9">
        <v>24.221222721972349</v>
      </c>
      <c r="G9">
        <f t="shared" si="0"/>
        <v>1.256141702720345</v>
      </c>
      <c r="H9" s="6">
        <v>1.6990111842105259E-2</v>
      </c>
      <c r="I9" s="6">
        <v>6.8790366972477056E-4</v>
      </c>
      <c r="J9" s="6">
        <v>0</v>
      </c>
      <c r="K9" s="6">
        <v>1.751829807692307E-2</v>
      </c>
      <c r="L9" s="6">
        <v>2.221833333333326E-4</v>
      </c>
      <c r="M9" s="6">
        <v>0</v>
      </c>
      <c r="N9" s="6">
        <v>1.7557068749999991E-2</v>
      </c>
      <c r="O9" s="6">
        <v>0</v>
      </c>
    </row>
    <row r="10" spans="1:15" x14ac:dyDescent="0.25">
      <c r="A10" t="s">
        <v>22</v>
      </c>
      <c r="B10">
        <v>79.888407367280607</v>
      </c>
      <c r="C10">
        <v>74</v>
      </c>
      <c r="D10">
        <v>121</v>
      </c>
      <c r="E10">
        <v>213</v>
      </c>
      <c r="F10">
        <v>30.759489452461089</v>
      </c>
      <c r="G10">
        <f t="shared" si="0"/>
        <v>0.76231861486664909</v>
      </c>
      <c r="H10" s="6">
        <v>3.5495541044776109E-3</v>
      </c>
      <c r="I10" s="6">
        <v>5.2009803921568533E-5</v>
      </c>
      <c r="J10" s="6">
        <v>9.3873583333333333E-3</v>
      </c>
      <c r="K10" s="6">
        <v>4.2476180291508188E-3</v>
      </c>
      <c r="L10" s="6">
        <v>1.174031640625E-2</v>
      </c>
      <c r="M10" s="6">
        <v>2.6420755434782589E-2</v>
      </c>
      <c r="N10" s="6">
        <v>1.2170681250000001E-2</v>
      </c>
      <c r="O10" s="6">
        <v>1.1430362499999999E-2</v>
      </c>
    </row>
    <row r="11" spans="1:15" x14ac:dyDescent="0.25">
      <c r="A11" t="s">
        <v>23</v>
      </c>
      <c r="B11">
        <v>14.391999999999999</v>
      </c>
      <c r="C11">
        <v>14</v>
      </c>
      <c r="D11">
        <v>15</v>
      </c>
      <c r="E11">
        <v>15</v>
      </c>
      <c r="F11">
        <v>66.657778962804954</v>
      </c>
      <c r="G11">
        <f t="shared" si="0"/>
        <v>4.8013783476482733E-2</v>
      </c>
      <c r="H11" s="6">
        <v>6.2263903000000023E-2</v>
      </c>
      <c r="I11" s="6">
        <v>5.9403178000000001E-2</v>
      </c>
      <c r="J11" s="6">
        <v>6.0722223000000013E-2</v>
      </c>
      <c r="K11" s="6">
        <v>6.7311481000000006E-2</v>
      </c>
    </row>
    <row r="12" spans="1:15" x14ac:dyDescent="0.25">
      <c r="A12" t="s">
        <v>24</v>
      </c>
      <c r="B12">
        <v>105.328</v>
      </c>
      <c r="C12">
        <v>105</v>
      </c>
      <c r="D12">
        <v>107</v>
      </c>
      <c r="E12">
        <v>107</v>
      </c>
      <c r="F12">
        <v>66.608938919603006</v>
      </c>
      <c r="G12">
        <f t="shared" si="0"/>
        <v>6.2227984215406261E-3</v>
      </c>
      <c r="H12" s="6">
        <v>1.8530181999999999E-2</v>
      </c>
      <c r="I12" s="6">
        <v>1.876035899999999E-2</v>
      </c>
      <c r="J12" s="6">
        <v>1.8696593000000011E-2</v>
      </c>
      <c r="K12" s="6">
        <v>1.8848457999999998E-2</v>
      </c>
    </row>
    <row r="13" spans="1:15" x14ac:dyDescent="0.25">
      <c r="A13" t="s">
        <v>25</v>
      </c>
      <c r="B13">
        <v>1016.36170212766</v>
      </c>
      <c r="C13">
        <v>1012</v>
      </c>
      <c r="D13">
        <v>1015</v>
      </c>
      <c r="E13">
        <v>1440</v>
      </c>
      <c r="F13">
        <v>6.2654135839498766</v>
      </c>
      <c r="G13" t="e">
        <f t="shared" si="0"/>
        <v>#DIV/0!</v>
      </c>
      <c r="H13" s="6">
        <v>0</v>
      </c>
      <c r="I13" s="6">
        <v>0</v>
      </c>
      <c r="J13" s="6">
        <v>0</v>
      </c>
      <c r="K13" s="6">
        <v>0</v>
      </c>
    </row>
    <row r="14" spans="1:15" x14ac:dyDescent="0.25">
      <c r="A14" t="s">
        <v>26</v>
      </c>
      <c r="B14">
        <v>90.096103896103898</v>
      </c>
      <c r="C14">
        <v>75</v>
      </c>
      <c r="D14">
        <v>211</v>
      </c>
      <c r="E14">
        <v>226</v>
      </c>
      <c r="F14">
        <v>25.661534359794711</v>
      </c>
      <c r="G14">
        <f t="shared" si="0"/>
        <v>0.88457432853096452</v>
      </c>
      <c r="H14" s="6">
        <v>2.4273559375E-2</v>
      </c>
      <c r="I14" s="6">
        <v>8.3961093749999986E-3</v>
      </c>
      <c r="J14" s="6">
        <v>5.0234763888888888E-3</v>
      </c>
      <c r="K14" s="6">
        <v>1.5837655172413791E-3</v>
      </c>
    </row>
    <row r="15" spans="1:15" x14ac:dyDescent="0.25">
      <c r="A15" t="s">
        <v>27</v>
      </c>
      <c r="B15">
        <v>78.88642659279779</v>
      </c>
      <c r="C15">
        <v>61</v>
      </c>
      <c r="D15">
        <v>106</v>
      </c>
      <c r="E15">
        <v>107</v>
      </c>
      <c r="F15">
        <v>24.053837953091691</v>
      </c>
      <c r="G15">
        <f t="shared" si="0"/>
        <v>1.7538352090420621</v>
      </c>
      <c r="H15" s="6">
        <v>2.6063076923076921E-3</v>
      </c>
      <c r="I15" s="6">
        <v>0</v>
      </c>
      <c r="J15" s="6">
        <v>1.1048088235294121E-3</v>
      </c>
      <c r="K15" s="6">
        <v>7.4362999999999999E-3</v>
      </c>
      <c r="L15" s="6">
        <v>0</v>
      </c>
      <c r="M15" s="6">
        <v>0</v>
      </c>
      <c r="N15" s="6">
        <v>0</v>
      </c>
      <c r="O15" s="6">
        <v>0</v>
      </c>
    </row>
    <row r="16" spans="1:15" x14ac:dyDescent="0.25">
      <c r="A16" t="s">
        <v>28</v>
      </c>
      <c r="B16">
        <v>14.43</v>
      </c>
      <c r="C16">
        <v>14</v>
      </c>
      <c r="D16">
        <v>15</v>
      </c>
      <c r="E16">
        <v>15</v>
      </c>
      <c r="F16">
        <v>66.648893628365769</v>
      </c>
      <c r="G16">
        <f t="shared" si="0"/>
        <v>0.60063696506960729</v>
      </c>
      <c r="H16" s="6">
        <v>5.4821268750000013E-2</v>
      </c>
      <c r="I16" s="6">
        <v>5.0644143749999981E-2</v>
      </c>
      <c r="J16" s="6">
        <v>2.2395537638888911E-2</v>
      </c>
      <c r="K16" s="6">
        <v>6.1514199999999986E-3</v>
      </c>
    </row>
    <row r="17" spans="1:11" x14ac:dyDescent="0.25">
      <c r="A17" t="s">
        <v>29</v>
      </c>
      <c r="B17">
        <v>88.816000000000003</v>
      </c>
      <c r="C17">
        <v>75</v>
      </c>
      <c r="D17">
        <v>211</v>
      </c>
      <c r="E17">
        <v>213</v>
      </c>
      <c r="F17">
        <v>66.640010662401707</v>
      </c>
      <c r="G17">
        <f t="shared" si="0"/>
        <v>1.3869248544782642</v>
      </c>
      <c r="H17" s="6">
        <v>1.7596187499999991E-3</v>
      </c>
      <c r="I17" s="6">
        <v>1.8474435000000001E-2</v>
      </c>
      <c r="J17" s="6">
        <v>1.5487213888888871E-3</v>
      </c>
      <c r="K17" s="6">
        <v>0</v>
      </c>
    </row>
    <row r="18" spans="1:11" x14ac:dyDescent="0.25">
      <c r="A18" t="s">
        <v>30</v>
      </c>
      <c r="B18">
        <v>799.92857142857144</v>
      </c>
      <c r="C18">
        <v>676</v>
      </c>
      <c r="D18">
        <v>2012</v>
      </c>
      <c r="E18">
        <v>2827</v>
      </c>
      <c r="F18">
        <v>6.527676014121095</v>
      </c>
      <c r="G18" t="e">
        <f t="shared" si="0"/>
        <v>#DIV/0!</v>
      </c>
      <c r="H18" s="6">
        <v>0</v>
      </c>
      <c r="I18" s="6">
        <v>0</v>
      </c>
      <c r="J18" s="6">
        <v>0</v>
      </c>
      <c r="K18" s="6">
        <v>0</v>
      </c>
    </row>
    <row r="19" spans="1:11" x14ac:dyDescent="0.25">
      <c r="A19" t="s">
        <v>31</v>
      </c>
      <c r="B19">
        <v>14.420999999999999</v>
      </c>
      <c r="C19">
        <v>14</v>
      </c>
      <c r="D19">
        <v>15</v>
      </c>
      <c r="E19">
        <v>15</v>
      </c>
      <c r="F19">
        <v>66.635570067301927</v>
      </c>
      <c r="G19">
        <f t="shared" si="0"/>
        <v>0.56570190298215695</v>
      </c>
      <c r="H19" s="6">
        <v>5.7068395343596243E-2</v>
      </c>
      <c r="I19" s="6">
        <v>4.6665333069178479E-2</v>
      </c>
      <c r="J19" s="6">
        <v>2.1792431620999191E-2</v>
      </c>
      <c r="K19" s="6">
        <v>9.2573894923355625E-3</v>
      </c>
    </row>
    <row r="20" spans="1:11" x14ac:dyDescent="0.25">
      <c r="A20" t="s">
        <v>32</v>
      </c>
      <c r="B20">
        <v>86.947999999999993</v>
      </c>
      <c r="C20">
        <v>75</v>
      </c>
      <c r="D20">
        <v>211</v>
      </c>
      <c r="E20">
        <v>257</v>
      </c>
      <c r="F20">
        <v>66.653335999466776</v>
      </c>
      <c r="G20">
        <f t="shared" si="0"/>
        <v>0.55979364146836808</v>
      </c>
      <c r="H20" s="6">
        <v>2.138222464226092E-2</v>
      </c>
      <c r="I20" s="6">
        <v>1.028480945335177E-2</v>
      </c>
      <c r="J20" s="6">
        <v>6.9860490789211494E-3</v>
      </c>
      <c r="K20" s="6">
        <v>5.6077016902612697E-3</v>
      </c>
    </row>
    <row r="21" spans="1:11" x14ac:dyDescent="0.25">
      <c r="A21" t="s">
        <v>33</v>
      </c>
      <c r="B21">
        <v>775.21875</v>
      </c>
      <c r="C21">
        <v>679</v>
      </c>
      <c r="D21">
        <v>1728</v>
      </c>
      <c r="E21">
        <v>2969</v>
      </c>
      <c r="F21">
        <v>6.3953101059223236</v>
      </c>
      <c r="G21">
        <f t="shared" si="0"/>
        <v>1.2044907897586248</v>
      </c>
      <c r="H21" s="6">
        <v>0.12554577083333329</v>
      </c>
      <c r="I21" s="6">
        <v>6.2518605616300581E-3</v>
      </c>
      <c r="J21" s="6">
        <v>2.1785546936783751E-2</v>
      </c>
      <c r="K21" s="6">
        <v>9.8888103302287728E-3</v>
      </c>
    </row>
    <row r="22" spans="1:11" x14ac:dyDescent="0.25">
      <c r="A22" t="s">
        <v>34</v>
      </c>
      <c r="B22">
        <v>89.105000000000004</v>
      </c>
      <c r="C22">
        <v>75</v>
      </c>
      <c r="D22">
        <v>226</v>
      </c>
      <c r="E22">
        <v>380</v>
      </c>
      <c r="F22">
        <v>66.640010662401707</v>
      </c>
      <c r="G22">
        <f t="shared" si="0"/>
        <v>0.71303090249748646</v>
      </c>
      <c r="H22" s="6">
        <v>3.7188419862728889E-2</v>
      </c>
      <c r="I22" s="6">
        <v>1.5166404047272101E-2</v>
      </c>
      <c r="J22" s="6">
        <v>8.4951994719884034E-3</v>
      </c>
      <c r="K22" s="6">
        <v>6.9495896455716022E-3</v>
      </c>
    </row>
    <row r="23" spans="1:11" x14ac:dyDescent="0.25">
      <c r="A23" t="s">
        <v>35</v>
      </c>
      <c r="B23">
        <v>408.34170854271349</v>
      </c>
      <c r="C23">
        <v>361</v>
      </c>
      <c r="D23">
        <v>1179</v>
      </c>
      <c r="E23">
        <v>1968</v>
      </c>
      <c r="F23">
        <v>13.255178845001</v>
      </c>
      <c r="G23">
        <f t="shared" si="0"/>
        <v>1.0948072242432594</v>
      </c>
      <c r="H23" s="6">
        <v>6.6553214498973584E-2</v>
      </c>
      <c r="I23" s="6">
        <v>2.239236030908592E-2</v>
      </c>
      <c r="J23" s="6">
        <v>2.5816287034849772E-3</v>
      </c>
      <c r="K23" s="6">
        <v>3.3587460046749389E-3</v>
      </c>
    </row>
    <row r="24" spans="1:11" x14ac:dyDescent="0.25">
      <c r="A24" t="s">
        <v>36</v>
      </c>
      <c r="B24">
        <v>1073.905325443787</v>
      </c>
      <c r="C24">
        <v>954</v>
      </c>
      <c r="D24">
        <v>2396</v>
      </c>
      <c r="E24">
        <v>4563</v>
      </c>
      <c r="F24">
        <v>6.7595944243345398</v>
      </c>
      <c r="G24">
        <f t="shared" si="0"/>
        <v>0.73241728739519585</v>
      </c>
      <c r="H24" s="6">
        <v>4.3215186390287458E-2</v>
      </c>
      <c r="I24" s="6">
        <v>4.7374716300734952E-3</v>
      </c>
      <c r="J24" s="6">
        <v>1.525835716038422E-2</v>
      </c>
      <c r="K24" s="6">
        <v>1.494137745450321E-2</v>
      </c>
    </row>
    <row r="25" spans="1:11" x14ac:dyDescent="0.25">
      <c r="A25" t="s">
        <v>37</v>
      </c>
      <c r="B25">
        <v>109.389</v>
      </c>
      <c r="C25">
        <v>107</v>
      </c>
      <c r="D25">
        <v>197</v>
      </c>
      <c r="E25">
        <v>212</v>
      </c>
      <c r="F25">
        <v>66.653335999466776</v>
      </c>
      <c r="G25">
        <f t="shared" si="0"/>
        <v>0.10032039073262621</v>
      </c>
      <c r="H25" s="6">
        <v>1.3854943401128739E-2</v>
      </c>
      <c r="I25" s="6">
        <v>1.159673106615138E-2</v>
      </c>
      <c r="J25" s="6">
        <v>1.543899022988243E-2</v>
      </c>
      <c r="K25" s="6">
        <v>1.40643853486238E-2</v>
      </c>
    </row>
    <row r="26" spans="1:11" x14ac:dyDescent="0.25">
      <c r="A26" t="s">
        <v>38</v>
      </c>
      <c r="B26">
        <v>506.47208121827413</v>
      </c>
      <c r="C26">
        <v>515</v>
      </c>
      <c r="D26">
        <v>984</v>
      </c>
      <c r="E26">
        <v>1078</v>
      </c>
      <c r="F26">
        <v>13.122835065281111</v>
      </c>
      <c r="G26">
        <f t="shared" si="0"/>
        <v>0.43243383361739335</v>
      </c>
      <c r="H26" s="6">
        <v>1.4309798419023899E-2</v>
      </c>
      <c r="I26" s="6">
        <v>3.4112218668415732E-2</v>
      </c>
      <c r="J26" s="6">
        <v>1.0980670143706061E-2</v>
      </c>
      <c r="K26" s="6">
        <v>2.4989675025349128E-2</v>
      </c>
    </row>
    <row r="27" spans="1:11" x14ac:dyDescent="0.25">
      <c r="A27" t="s">
        <v>39</v>
      </c>
      <c r="B27">
        <v>1328.806338028169</v>
      </c>
      <c r="C27">
        <v>1274</v>
      </c>
      <c r="D27">
        <v>2436</v>
      </c>
      <c r="E27">
        <v>2497</v>
      </c>
      <c r="F27">
        <v>5.6798864022719551</v>
      </c>
      <c r="G27">
        <f t="shared" si="0"/>
        <v>0.44878543514336294</v>
      </c>
      <c r="H27" s="6">
        <v>1.30597068283669E-2</v>
      </c>
      <c r="I27" s="6">
        <v>3.042888147372709E-2</v>
      </c>
      <c r="J27" s="6">
        <v>3.3129048879383012E-2</v>
      </c>
      <c r="K27" s="6">
        <v>1.1304034301913511E-2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workbookViewId="0">
      <selection activeCell="B36" sqref="B36"/>
    </sheetView>
  </sheetViews>
  <sheetFormatPr defaultRowHeight="15" x14ac:dyDescent="0.25"/>
  <cols>
    <col min="1" max="7" width="20.7109375" customWidth="1"/>
    <col min="8" max="15" width="9.140625" style="6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40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 t="s">
        <v>13</v>
      </c>
    </row>
    <row r="2" spans="1:15" x14ac:dyDescent="0.25">
      <c r="A2" t="s">
        <v>14</v>
      </c>
      <c r="B2">
        <v>22.128</v>
      </c>
      <c r="C2">
        <v>15</v>
      </c>
      <c r="D2">
        <v>60</v>
      </c>
      <c r="E2">
        <v>76</v>
      </c>
      <c r="F2">
        <v>66.613375965893951</v>
      </c>
      <c r="G2">
        <f>_xlfn.STDEV.P(H2:O2)/AVERAGE(H2:O2)</f>
        <v>0.36185308191713172</v>
      </c>
      <c r="H2" s="6">
        <v>0.3913543245033122</v>
      </c>
      <c r="I2" s="6">
        <v>0.31594467528735592</v>
      </c>
      <c r="J2" s="6">
        <v>0.33228964155052271</v>
      </c>
      <c r="K2" s="6">
        <v>0.11432562790697701</v>
      </c>
    </row>
    <row r="3" spans="1:15" x14ac:dyDescent="0.25">
      <c r="A3" t="s">
        <v>15</v>
      </c>
      <c r="B3">
        <v>101.2733118971061</v>
      </c>
      <c r="C3">
        <v>76</v>
      </c>
      <c r="D3">
        <v>212</v>
      </c>
      <c r="E3">
        <v>213</v>
      </c>
      <c r="F3">
        <v>46.643003549467579</v>
      </c>
      <c r="G3">
        <f t="shared" ref="G3:G27" si="0">_xlfn.STDEV.P(H3:O3)/AVERAGE(H3:O3)</f>
        <v>0.84949146898309102</v>
      </c>
      <c r="H3" s="6">
        <v>1.9744002435064929E-2</v>
      </c>
      <c r="I3" s="6">
        <v>1.862612860082305E-2</v>
      </c>
      <c r="J3" s="6">
        <v>3.3097828863346071E-3</v>
      </c>
      <c r="K3" s="6">
        <v>0</v>
      </c>
    </row>
    <row r="4" spans="1:15" x14ac:dyDescent="0.25">
      <c r="A4" t="s">
        <v>16</v>
      </c>
      <c r="B4">
        <v>809.07086614173227</v>
      </c>
      <c r="C4">
        <v>669</v>
      </c>
      <c r="D4">
        <v>2010</v>
      </c>
      <c r="E4">
        <v>2014</v>
      </c>
      <c r="F4">
        <v>8.4652557907015495</v>
      </c>
      <c r="G4" t="e">
        <f t="shared" si="0"/>
        <v>#DIV/0!</v>
      </c>
      <c r="H4" s="6">
        <v>0</v>
      </c>
      <c r="I4" s="6">
        <v>0</v>
      </c>
      <c r="J4" s="6">
        <v>0</v>
      </c>
      <c r="K4" s="6">
        <v>0</v>
      </c>
    </row>
    <row r="5" spans="1:15" x14ac:dyDescent="0.25">
      <c r="A5" t="s">
        <v>17</v>
      </c>
      <c r="B5">
        <v>24.523</v>
      </c>
      <c r="C5">
        <v>29</v>
      </c>
      <c r="D5">
        <v>45</v>
      </c>
      <c r="E5">
        <v>45</v>
      </c>
      <c r="F5">
        <v>66.644451849383529</v>
      </c>
      <c r="G5">
        <f t="shared" si="0"/>
        <v>4.5134356235440369E-2</v>
      </c>
      <c r="H5" s="6">
        <v>0.39634604138513452</v>
      </c>
      <c r="I5" s="6">
        <v>0.41676999117647001</v>
      </c>
      <c r="J5" s="6">
        <v>0.41452586217948678</v>
      </c>
      <c r="K5" s="6">
        <v>0.44888865813953432</v>
      </c>
    </row>
    <row r="6" spans="1:15" x14ac:dyDescent="0.25">
      <c r="A6" t="s">
        <v>18</v>
      </c>
      <c r="B6">
        <v>105.59699999999999</v>
      </c>
      <c r="C6">
        <v>106</v>
      </c>
      <c r="D6">
        <v>107</v>
      </c>
      <c r="E6">
        <v>108</v>
      </c>
      <c r="F6">
        <v>49.960031974420467</v>
      </c>
      <c r="G6">
        <f t="shared" si="0"/>
        <v>1.0778792550920109</v>
      </c>
      <c r="H6" s="6">
        <v>9.3268105158730158E-3</v>
      </c>
      <c r="I6" s="6">
        <v>1.8360853585657359E-2</v>
      </c>
      <c r="J6" s="6">
        <v>3.2888654618473863E-4</v>
      </c>
      <c r="K6" s="6">
        <v>0</v>
      </c>
    </row>
    <row r="7" spans="1:15" x14ac:dyDescent="0.25">
      <c r="A7" t="s">
        <v>19</v>
      </c>
      <c r="B7">
        <v>1011.717821782178</v>
      </c>
      <c r="C7">
        <v>1012</v>
      </c>
      <c r="D7">
        <v>1015</v>
      </c>
      <c r="E7">
        <v>1016</v>
      </c>
      <c r="F7">
        <v>6.7310896367877371</v>
      </c>
      <c r="G7">
        <f t="shared" si="0"/>
        <v>1.7320508075688772</v>
      </c>
      <c r="H7" s="6">
        <v>0</v>
      </c>
      <c r="I7" s="6">
        <v>2.460848039215677E-3</v>
      </c>
      <c r="J7" s="6">
        <v>0</v>
      </c>
      <c r="K7" s="6">
        <v>0</v>
      </c>
    </row>
    <row r="8" spans="1:15" x14ac:dyDescent="0.25">
      <c r="A8" t="s">
        <v>20</v>
      </c>
      <c r="B8">
        <v>105.2973568281938</v>
      </c>
      <c r="C8">
        <v>105</v>
      </c>
      <c r="D8">
        <v>107</v>
      </c>
      <c r="E8">
        <v>107</v>
      </c>
      <c r="F8">
        <v>30.257589389849709</v>
      </c>
      <c r="G8">
        <f t="shared" si="0"/>
        <v>0.90739497869098418</v>
      </c>
      <c r="H8" s="6">
        <v>1.095420454545454E-3</v>
      </c>
      <c r="I8" s="6">
        <v>1.1634625E-3</v>
      </c>
      <c r="J8" s="6">
        <v>4.8861675531914894E-3</v>
      </c>
      <c r="K8" s="6">
        <v>1.321445875E-2</v>
      </c>
      <c r="L8" s="6">
        <v>4.8201858974358967E-3</v>
      </c>
      <c r="M8" s="6">
        <v>1.8143393229166669E-2</v>
      </c>
      <c r="N8" s="6">
        <v>5.2324296874999999E-3</v>
      </c>
      <c r="O8" s="6">
        <v>2.1219910714285711E-3</v>
      </c>
    </row>
    <row r="9" spans="1:15" x14ac:dyDescent="0.25">
      <c r="A9" t="s">
        <v>21</v>
      </c>
      <c r="B9">
        <v>142.883152173913</v>
      </c>
      <c r="C9">
        <v>106</v>
      </c>
      <c r="D9">
        <v>212</v>
      </c>
      <c r="E9">
        <v>213</v>
      </c>
      <c r="F9">
        <v>24.52597554067113</v>
      </c>
      <c r="G9">
        <f t="shared" si="0"/>
        <v>1.211471880436277</v>
      </c>
      <c r="H9" s="6">
        <v>1.6770445175438589E-2</v>
      </c>
      <c r="I9" s="6">
        <v>7.7531531531531482E-4</v>
      </c>
      <c r="J9" s="6">
        <v>0</v>
      </c>
      <c r="K9" s="6">
        <v>1.7368028571428561E-2</v>
      </c>
      <c r="L9" s="6">
        <v>1.1321052631578891E-4</v>
      </c>
      <c r="M9" s="6">
        <v>1.5086458333333279E-4</v>
      </c>
      <c r="N9" s="6">
        <v>1.7686430232558129E-2</v>
      </c>
      <c r="O9" s="6">
        <v>1.0767987012987E-3</v>
      </c>
    </row>
    <row r="10" spans="1:15" x14ac:dyDescent="0.25">
      <c r="A10" t="s">
        <v>22</v>
      </c>
      <c r="B10">
        <v>80.986051502145926</v>
      </c>
      <c r="C10">
        <v>74</v>
      </c>
      <c r="D10">
        <v>209</v>
      </c>
      <c r="E10">
        <v>212</v>
      </c>
      <c r="F10">
        <v>31.06563114562848</v>
      </c>
      <c r="G10">
        <f t="shared" si="0"/>
        <v>1.4712126636413567</v>
      </c>
      <c r="H10" s="6">
        <v>6.259927272727273E-4</v>
      </c>
      <c r="I10" s="6">
        <v>1.23560752688172E-3</v>
      </c>
      <c r="J10" s="6">
        <v>5.3120976562499988E-3</v>
      </c>
      <c r="K10" s="6">
        <v>3.534954402515719E-3</v>
      </c>
      <c r="L10" s="6">
        <v>3.3762947761194029E-3</v>
      </c>
      <c r="M10" s="6">
        <v>2.6607739583333331E-2</v>
      </c>
      <c r="N10" s="6">
        <v>3.5619953703703699E-3</v>
      </c>
      <c r="O10" s="6">
        <v>0</v>
      </c>
    </row>
    <row r="11" spans="1:15" x14ac:dyDescent="0.25">
      <c r="A11" t="s">
        <v>23</v>
      </c>
      <c r="B11">
        <v>14.221</v>
      </c>
      <c r="C11">
        <v>14</v>
      </c>
      <c r="D11">
        <v>15</v>
      </c>
      <c r="E11">
        <v>15</v>
      </c>
      <c r="F11">
        <v>66.586762551604735</v>
      </c>
      <c r="G11">
        <f t="shared" si="0"/>
        <v>0.5769328773029162</v>
      </c>
      <c r="H11" s="6">
        <v>2.6455005376344082E-3</v>
      </c>
      <c r="I11" s="6">
        <v>1.3387003257328989E-3</v>
      </c>
      <c r="J11" s="6">
        <v>6.7366770186335408E-4</v>
      </c>
      <c r="K11" s="6">
        <v>7.7989179104477602E-4</v>
      </c>
    </row>
    <row r="12" spans="1:15" x14ac:dyDescent="0.25">
      <c r="A12" t="s">
        <v>24</v>
      </c>
      <c r="B12">
        <v>105.40600000000001</v>
      </c>
      <c r="C12">
        <v>105</v>
      </c>
      <c r="D12">
        <v>107</v>
      </c>
      <c r="E12">
        <v>108</v>
      </c>
      <c r="F12">
        <v>66.631130063965884</v>
      </c>
      <c r="G12">
        <f t="shared" si="0"/>
        <v>0.76615694769885456</v>
      </c>
      <c r="H12" s="6">
        <v>5.4156175298804782E-3</v>
      </c>
      <c r="I12" s="6">
        <v>1.8493499999999989E-2</v>
      </c>
      <c r="J12" s="6">
        <v>1.8493429000000009E-2</v>
      </c>
      <c r="K12" s="6">
        <v>0</v>
      </c>
    </row>
    <row r="13" spans="1:15" x14ac:dyDescent="0.25">
      <c r="A13" t="s">
        <v>25</v>
      </c>
      <c r="B13">
        <v>1009.1</v>
      </c>
      <c r="C13">
        <v>1010</v>
      </c>
      <c r="D13">
        <v>1014</v>
      </c>
      <c r="E13">
        <v>1015</v>
      </c>
      <c r="F13">
        <v>6.6617813603357554</v>
      </c>
      <c r="G13" t="e">
        <f t="shared" si="0"/>
        <v>#DIV/0!</v>
      </c>
      <c r="H13" s="6">
        <v>0</v>
      </c>
      <c r="I13" s="6">
        <v>0</v>
      </c>
      <c r="J13" s="6">
        <v>0</v>
      </c>
      <c r="K13" s="6">
        <v>0</v>
      </c>
    </row>
    <row r="14" spans="1:15" x14ac:dyDescent="0.25">
      <c r="A14" t="s">
        <v>26</v>
      </c>
      <c r="B14">
        <v>108.4072164948454</v>
      </c>
      <c r="C14">
        <v>76</v>
      </c>
      <c r="D14">
        <v>212</v>
      </c>
      <c r="E14">
        <v>226</v>
      </c>
      <c r="F14">
        <v>25.852878464818769</v>
      </c>
      <c r="G14">
        <f t="shared" si="0"/>
        <v>1.578703722384744</v>
      </c>
      <c r="H14" s="6">
        <v>2.0268347222222219E-2</v>
      </c>
      <c r="I14" s="6">
        <v>1.425469626168224E-3</v>
      </c>
      <c r="J14" s="6">
        <v>5.1464891975308529E-5</v>
      </c>
      <c r="K14" s="6">
        <v>0</v>
      </c>
    </row>
    <row r="15" spans="1:15" x14ac:dyDescent="0.25">
      <c r="A15" t="s">
        <v>27</v>
      </c>
      <c r="B15">
        <v>81.606557377049185</v>
      </c>
      <c r="C15">
        <v>61</v>
      </c>
      <c r="D15">
        <v>106</v>
      </c>
      <c r="E15">
        <v>107</v>
      </c>
      <c r="F15">
        <v>24.386993603411511</v>
      </c>
      <c r="G15">
        <f t="shared" si="0"/>
        <v>1.3308054532869518</v>
      </c>
      <c r="H15" s="6">
        <v>3.7036324503311241E-3</v>
      </c>
      <c r="I15" s="6">
        <v>0</v>
      </c>
      <c r="J15" s="6">
        <v>2.7691274509803921E-3</v>
      </c>
      <c r="K15" s="6">
        <v>4.5487599999999998E-3</v>
      </c>
      <c r="L15" s="6">
        <v>0</v>
      </c>
      <c r="M15" s="6">
        <v>0</v>
      </c>
      <c r="N15" s="6">
        <v>0</v>
      </c>
      <c r="O15" s="6">
        <v>0</v>
      </c>
    </row>
    <row r="16" spans="1:15" x14ac:dyDescent="0.25">
      <c r="A16" t="s">
        <v>28</v>
      </c>
      <c r="B16">
        <v>14.47</v>
      </c>
      <c r="C16">
        <v>14</v>
      </c>
      <c r="D16">
        <v>15</v>
      </c>
      <c r="E16">
        <v>15</v>
      </c>
      <c r="F16">
        <v>66.6266906522753</v>
      </c>
      <c r="G16">
        <f t="shared" si="0"/>
        <v>1.7295996592662659</v>
      </c>
      <c r="H16" s="6">
        <v>0.1951096479445508</v>
      </c>
      <c r="I16" s="6">
        <v>2.0737876254180599E-4</v>
      </c>
      <c r="J16" s="6">
        <v>0</v>
      </c>
      <c r="K16" s="6">
        <v>0</v>
      </c>
    </row>
    <row r="17" spans="1:11" x14ac:dyDescent="0.25">
      <c r="A17" t="s">
        <v>29</v>
      </c>
      <c r="B17">
        <v>93.671000000000006</v>
      </c>
      <c r="C17">
        <v>75</v>
      </c>
      <c r="D17">
        <v>212</v>
      </c>
      <c r="E17">
        <v>213</v>
      </c>
      <c r="F17">
        <v>66.600066600066597</v>
      </c>
      <c r="G17">
        <f t="shared" si="0"/>
        <v>0.8715502802609687</v>
      </c>
      <c r="H17" s="6">
        <v>1.7329744094488179E-2</v>
      </c>
      <c r="I17" s="6">
        <v>3.3436425339366518E-4</v>
      </c>
      <c r="J17" s="6">
        <v>3.2939413841807869E-3</v>
      </c>
      <c r="K17" s="6">
        <v>2.4216579831932761E-2</v>
      </c>
    </row>
    <row r="18" spans="1:11" x14ac:dyDescent="0.25">
      <c r="A18" t="s">
        <v>30</v>
      </c>
      <c r="B18">
        <v>864.19</v>
      </c>
      <c r="C18">
        <v>679</v>
      </c>
      <c r="D18">
        <v>2011</v>
      </c>
      <c r="E18">
        <v>2013</v>
      </c>
      <c r="F18">
        <v>6.6604502464366604</v>
      </c>
      <c r="G18">
        <f t="shared" si="0"/>
        <v>1.7320508075688772</v>
      </c>
      <c r="H18" s="6">
        <v>0</v>
      </c>
      <c r="I18" s="6">
        <v>0</v>
      </c>
      <c r="J18" s="6">
        <v>0</v>
      </c>
      <c r="K18" s="6">
        <v>4.0341142857142857E-3</v>
      </c>
    </row>
    <row r="19" spans="1:11" x14ac:dyDescent="0.25">
      <c r="A19" t="s">
        <v>31</v>
      </c>
      <c r="B19">
        <v>14.683</v>
      </c>
      <c r="C19">
        <v>14</v>
      </c>
      <c r="D19">
        <v>15</v>
      </c>
      <c r="E19">
        <v>30</v>
      </c>
      <c r="F19">
        <v>66.653335999466776</v>
      </c>
      <c r="G19">
        <f t="shared" si="0"/>
        <v>1.7320508075688772</v>
      </c>
      <c r="H19" s="6">
        <v>9.8724307459753774E-2</v>
      </c>
      <c r="I19" s="6">
        <v>0</v>
      </c>
      <c r="J19" s="6">
        <v>0</v>
      </c>
      <c r="K19" s="6">
        <v>0</v>
      </c>
    </row>
    <row r="20" spans="1:11" x14ac:dyDescent="0.25">
      <c r="A20" t="s">
        <v>32</v>
      </c>
      <c r="B20">
        <v>91.152000000000001</v>
      </c>
      <c r="C20">
        <v>75</v>
      </c>
      <c r="D20">
        <v>226</v>
      </c>
      <c r="E20">
        <v>271</v>
      </c>
      <c r="F20">
        <v>66.653335999466776</v>
      </c>
      <c r="G20">
        <f t="shared" si="0"/>
        <v>0.51263253579072288</v>
      </c>
      <c r="H20" s="6">
        <v>1.8469428886085711E-2</v>
      </c>
      <c r="I20" s="6">
        <v>8.2286326765330202E-3</v>
      </c>
      <c r="J20" s="6">
        <v>6.9363357821468994E-3</v>
      </c>
      <c r="K20" s="6">
        <v>5.7737085418443383E-3</v>
      </c>
    </row>
    <row r="21" spans="1:11" x14ac:dyDescent="0.25">
      <c r="A21" t="s">
        <v>33</v>
      </c>
      <c r="B21">
        <v>896.62626262626259</v>
      </c>
      <c r="C21">
        <v>714</v>
      </c>
      <c r="D21">
        <v>2398</v>
      </c>
      <c r="E21">
        <v>3140</v>
      </c>
      <c r="F21">
        <v>6.5982404692082124</v>
      </c>
      <c r="G21">
        <f t="shared" si="0"/>
        <v>1.3447157835835215</v>
      </c>
      <c r="H21" s="6">
        <v>9.8716855183384827E-2</v>
      </c>
      <c r="I21" s="6">
        <v>3.7264816727515019E-3</v>
      </c>
      <c r="J21" s="6">
        <v>1.171793394127453E-2</v>
      </c>
      <c r="K21" s="6">
        <v>4.6969950399989536E-3</v>
      </c>
    </row>
    <row r="22" spans="1:11" x14ac:dyDescent="0.25">
      <c r="A22" t="s">
        <v>34</v>
      </c>
      <c r="B22">
        <v>94.628</v>
      </c>
      <c r="C22">
        <v>76</v>
      </c>
      <c r="D22">
        <v>302</v>
      </c>
      <c r="E22">
        <v>394</v>
      </c>
      <c r="F22">
        <v>66.595631326584979</v>
      </c>
      <c r="G22">
        <f t="shared" si="0"/>
        <v>0.83365826188093139</v>
      </c>
      <c r="H22" s="6">
        <v>3.749268008768588E-2</v>
      </c>
      <c r="I22" s="6">
        <v>7.6814587353401511E-3</v>
      </c>
      <c r="J22" s="6">
        <v>8.5528082163466319E-3</v>
      </c>
      <c r="K22" s="6">
        <v>7.6519286190645042E-3</v>
      </c>
    </row>
    <row r="23" spans="1:11" x14ac:dyDescent="0.25">
      <c r="A23" t="s">
        <v>35</v>
      </c>
      <c r="B23">
        <v>439.48743718592971</v>
      </c>
      <c r="C23">
        <v>346</v>
      </c>
      <c r="D23">
        <v>1274</v>
      </c>
      <c r="E23">
        <v>2325</v>
      </c>
      <c r="F23">
        <v>13.256061817212901</v>
      </c>
      <c r="G23">
        <f t="shared" si="0"/>
        <v>1.1693127940924481</v>
      </c>
      <c r="H23" s="6">
        <v>0.1358519254014102</v>
      </c>
      <c r="I23" s="6">
        <v>2.3339949313447461E-2</v>
      </c>
      <c r="J23" s="6">
        <v>1.6275676665923298E-2</v>
      </c>
      <c r="K23" s="6">
        <v>5.0765495692109324E-3</v>
      </c>
    </row>
    <row r="24" spans="1:11" x14ac:dyDescent="0.25">
      <c r="A24" t="s">
        <v>36</v>
      </c>
      <c r="B24">
        <v>1065.3216374269009</v>
      </c>
      <c r="C24">
        <v>862</v>
      </c>
      <c r="D24">
        <v>3202</v>
      </c>
      <c r="E24">
        <v>4446</v>
      </c>
      <c r="F24">
        <v>6.8380853361058902</v>
      </c>
      <c r="G24">
        <f t="shared" si="0"/>
        <v>0.94175498726982132</v>
      </c>
      <c r="H24" s="6">
        <v>5.2035194719385683E-2</v>
      </c>
      <c r="I24" s="6">
        <v>2.0256291043976721E-2</v>
      </c>
      <c r="J24" s="6">
        <v>4.2796737273957828E-3</v>
      </c>
      <c r="K24" s="6">
        <v>5.3369405796959814E-3</v>
      </c>
    </row>
    <row r="25" spans="1:11" x14ac:dyDescent="0.25">
      <c r="A25" t="s">
        <v>37</v>
      </c>
      <c r="B25">
        <v>109.57299999999999</v>
      </c>
      <c r="C25">
        <v>108</v>
      </c>
      <c r="D25">
        <v>197</v>
      </c>
      <c r="E25">
        <v>213</v>
      </c>
      <c r="F25">
        <v>66.631130063965884</v>
      </c>
      <c r="G25">
        <f t="shared" si="0"/>
        <v>0.13383374714339594</v>
      </c>
      <c r="H25" s="6">
        <v>1.55577272070575E-2</v>
      </c>
      <c r="I25" s="6">
        <v>1.1008135455724689E-2</v>
      </c>
      <c r="J25" s="6">
        <v>1.189704886382513E-2</v>
      </c>
      <c r="K25" s="6">
        <v>1.366956976914032E-2</v>
      </c>
    </row>
    <row r="26" spans="1:11" x14ac:dyDescent="0.25">
      <c r="A26" t="s">
        <v>38</v>
      </c>
      <c r="B26">
        <v>510.92</v>
      </c>
      <c r="C26">
        <v>500</v>
      </c>
      <c r="D26">
        <v>995</v>
      </c>
      <c r="E26">
        <v>1181</v>
      </c>
      <c r="F26">
        <v>13.32622601279318</v>
      </c>
      <c r="G26">
        <f t="shared" si="0"/>
        <v>0.3065981722464991</v>
      </c>
      <c r="H26" s="6">
        <v>2.7519305198969609E-2</v>
      </c>
      <c r="I26" s="6">
        <v>1.135613413634424E-2</v>
      </c>
      <c r="J26" s="6">
        <v>2.6080148474575269E-2</v>
      </c>
      <c r="K26" s="6">
        <v>1.8958248067899839E-2</v>
      </c>
    </row>
    <row r="27" spans="1:11" x14ac:dyDescent="0.25">
      <c r="A27" t="s">
        <v>39</v>
      </c>
      <c r="B27">
        <v>1318.7830508474581</v>
      </c>
      <c r="C27">
        <v>1306</v>
      </c>
      <c r="D27">
        <v>2442</v>
      </c>
      <c r="E27">
        <v>2554</v>
      </c>
      <c r="F27">
        <v>5.8996460212387261</v>
      </c>
      <c r="G27">
        <f t="shared" si="0"/>
        <v>0.43553062495856576</v>
      </c>
      <c r="H27" s="6">
        <v>1.2013120311345689E-2</v>
      </c>
      <c r="I27" s="6">
        <v>1.5852561314098741E-2</v>
      </c>
      <c r="J27" s="6">
        <v>3.7748340964503559E-2</v>
      </c>
      <c r="K27" s="6">
        <v>2.6106138377636489E-2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>
      <selection activeCell="E32" sqref="E32"/>
    </sheetView>
  </sheetViews>
  <sheetFormatPr defaultRowHeight="15" x14ac:dyDescent="0.25"/>
  <cols>
    <col min="1" max="7" width="20.7109375" customWidth="1"/>
    <col min="8" max="15" width="9.140625" style="6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40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 t="s">
        <v>13</v>
      </c>
    </row>
    <row r="2" spans="1:15" x14ac:dyDescent="0.25">
      <c r="A2" t="s">
        <v>14</v>
      </c>
      <c r="B2">
        <v>25.045999999999999</v>
      </c>
      <c r="C2">
        <v>15</v>
      </c>
      <c r="D2">
        <v>75</v>
      </c>
      <c r="E2">
        <v>76</v>
      </c>
      <c r="F2">
        <v>66.60450246436659</v>
      </c>
      <c r="G2">
        <f>_xlfn.STDEV.P(H2:O2)/AVERAGE(H2:O2)</f>
        <v>0.70711799005902309</v>
      </c>
      <c r="H2" s="6">
        <v>0.53128861278735795</v>
      </c>
      <c r="I2" s="6">
        <v>0.48344927873563093</v>
      </c>
      <c r="J2" s="6">
        <v>0.1820269258600237</v>
      </c>
      <c r="K2" s="6">
        <v>1.3526336267605641E-2</v>
      </c>
    </row>
    <row r="3" spans="1:15" x14ac:dyDescent="0.25">
      <c r="A3" t="s">
        <v>15</v>
      </c>
      <c r="B3">
        <v>100.2474437627812</v>
      </c>
      <c r="C3">
        <v>75</v>
      </c>
      <c r="D3">
        <v>212</v>
      </c>
      <c r="E3">
        <v>213</v>
      </c>
      <c r="F3">
        <v>48.870677593443929</v>
      </c>
      <c r="G3">
        <f t="shared" ref="G3:G27" si="0">_xlfn.STDEV.P(H3:O3)/AVERAGE(H3:O3)</f>
        <v>1.0528419620230329</v>
      </c>
      <c r="H3" s="6">
        <v>1.9638611842105261E-2</v>
      </c>
      <c r="I3" s="6">
        <v>7.6356791187739458E-3</v>
      </c>
      <c r="J3" s="6">
        <v>7.9913626927639295E-4</v>
      </c>
      <c r="K3" s="6">
        <v>1.0021795774647891E-3</v>
      </c>
    </row>
    <row r="4" spans="1:15" x14ac:dyDescent="0.25">
      <c r="A4" t="s">
        <v>16</v>
      </c>
      <c r="B4">
        <v>803.62055335968375</v>
      </c>
      <c r="C4">
        <v>668</v>
      </c>
      <c r="D4">
        <v>2010</v>
      </c>
      <c r="E4">
        <v>2014</v>
      </c>
      <c r="F4">
        <v>8.4327711485900938</v>
      </c>
      <c r="G4" t="e">
        <f t="shared" si="0"/>
        <v>#DIV/0!</v>
      </c>
      <c r="H4" s="6">
        <v>0</v>
      </c>
      <c r="I4" s="6">
        <v>0</v>
      </c>
      <c r="J4" s="6">
        <v>0</v>
      </c>
      <c r="K4" s="6">
        <v>0</v>
      </c>
    </row>
    <row r="5" spans="1:15" x14ac:dyDescent="0.25">
      <c r="A5" t="s">
        <v>17</v>
      </c>
      <c r="B5">
        <v>22.204999999999998</v>
      </c>
      <c r="C5">
        <v>15</v>
      </c>
      <c r="D5">
        <v>44</v>
      </c>
      <c r="E5">
        <v>45</v>
      </c>
      <c r="F5">
        <v>66.635570067301927</v>
      </c>
      <c r="G5">
        <f t="shared" si="0"/>
        <v>0.87612340540218991</v>
      </c>
      <c r="H5" s="6">
        <v>0.61440288698629986</v>
      </c>
      <c r="I5" s="6">
        <v>7.016898863636363E-2</v>
      </c>
      <c r="J5" s="6">
        <v>0.3187630599547509</v>
      </c>
      <c r="K5" s="6">
        <v>4.5479293939393928E-2</v>
      </c>
    </row>
    <row r="6" spans="1:15" x14ac:dyDescent="0.25">
      <c r="A6" t="s">
        <v>18</v>
      </c>
      <c r="B6">
        <v>105.6221198156682</v>
      </c>
      <c r="C6">
        <v>105</v>
      </c>
      <c r="D6">
        <v>107</v>
      </c>
      <c r="E6">
        <v>111</v>
      </c>
      <c r="F6">
        <v>43.386983904828547</v>
      </c>
      <c r="G6">
        <f t="shared" si="0"/>
        <v>1.0530043596447769</v>
      </c>
      <c r="H6" s="6">
        <v>6.0032679738561813E-6</v>
      </c>
      <c r="I6" s="6">
        <v>1.143457386363636E-2</v>
      </c>
      <c r="J6" s="6">
        <v>1.8427122171945701E-2</v>
      </c>
      <c r="K6" s="6">
        <v>0</v>
      </c>
    </row>
    <row r="7" spans="1:15" x14ac:dyDescent="0.25">
      <c r="A7" t="s">
        <v>19</v>
      </c>
      <c r="B7">
        <v>1010.3514851485151</v>
      </c>
      <c r="C7">
        <v>1012</v>
      </c>
      <c r="D7">
        <v>1014</v>
      </c>
      <c r="E7">
        <v>1015</v>
      </c>
      <c r="F7">
        <v>6.7317625887292962</v>
      </c>
      <c r="G7" t="e">
        <f t="shared" si="0"/>
        <v>#DIV/0!</v>
      </c>
      <c r="H7" s="6">
        <v>0</v>
      </c>
      <c r="I7" s="6">
        <v>0</v>
      </c>
      <c r="J7" s="6">
        <v>0</v>
      </c>
      <c r="K7" s="6">
        <v>0</v>
      </c>
    </row>
    <row r="8" spans="1:15" x14ac:dyDescent="0.25">
      <c r="A8" t="s">
        <v>20</v>
      </c>
      <c r="B8">
        <v>105.4855072463768</v>
      </c>
      <c r="C8">
        <v>105</v>
      </c>
      <c r="D8">
        <v>107</v>
      </c>
      <c r="E8">
        <v>108</v>
      </c>
      <c r="F8">
        <v>27.5972402759724</v>
      </c>
      <c r="G8">
        <f t="shared" si="0"/>
        <v>0.89373333310986691</v>
      </c>
      <c r="H8" s="6">
        <v>1.8127132954545461E-2</v>
      </c>
      <c r="I8" s="6">
        <v>1.9789253246753238E-3</v>
      </c>
      <c r="J8" s="6">
        <v>5.1445721153846142E-3</v>
      </c>
      <c r="K8" s="6">
        <v>2.867323529411765E-3</v>
      </c>
      <c r="L8" s="6">
        <v>4.5355113636363498E-5</v>
      </c>
      <c r="M8" s="6">
        <v>9.4168035714285708E-3</v>
      </c>
      <c r="N8" s="6">
        <v>3.7098606557377052E-3</v>
      </c>
      <c r="O8" s="6">
        <v>6.3112118644067794E-3</v>
      </c>
    </row>
    <row r="9" spans="1:15" x14ac:dyDescent="0.25">
      <c r="A9" t="s">
        <v>21</v>
      </c>
      <c r="B9">
        <v>126.2545126353791</v>
      </c>
      <c r="C9">
        <v>106</v>
      </c>
      <c r="D9">
        <v>212</v>
      </c>
      <c r="E9">
        <v>214</v>
      </c>
      <c r="F9">
        <v>18.456208148715731</v>
      </c>
      <c r="G9">
        <f t="shared" si="0"/>
        <v>2.2149713524969576</v>
      </c>
      <c r="H9" s="6">
        <v>1.6914712962962951E-2</v>
      </c>
      <c r="I9" s="6">
        <v>0</v>
      </c>
      <c r="J9" s="6">
        <v>1.0030612244897939E-4</v>
      </c>
      <c r="K9" s="6">
        <v>0</v>
      </c>
      <c r="L9" s="6">
        <v>6.5343157894736791E-4</v>
      </c>
      <c r="M9" s="6">
        <v>1.0028947368421041E-3</v>
      </c>
      <c r="N9" s="6">
        <v>0</v>
      </c>
      <c r="O9" s="6">
        <v>1.1062659574468071E-3</v>
      </c>
    </row>
    <row r="10" spans="1:15" x14ac:dyDescent="0.25">
      <c r="A10" t="s">
        <v>22</v>
      </c>
      <c r="B10">
        <v>67.758201701093554</v>
      </c>
      <c r="C10">
        <v>60</v>
      </c>
      <c r="D10">
        <v>104</v>
      </c>
      <c r="E10">
        <v>105</v>
      </c>
      <c r="F10">
        <v>27.423278131351839</v>
      </c>
      <c r="G10">
        <f t="shared" si="0"/>
        <v>1.6928733540183558</v>
      </c>
      <c r="H10" s="6">
        <v>3.0978975741239879E-4</v>
      </c>
      <c r="I10" s="6">
        <v>0</v>
      </c>
      <c r="J10" s="6">
        <v>0</v>
      </c>
      <c r="K10" s="6">
        <v>1.720946090182647E-2</v>
      </c>
      <c r="L10" s="6">
        <v>0</v>
      </c>
      <c r="M10" s="6">
        <v>0</v>
      </c>
      <c r="N10" s="6">
        <v>7.2177712765957441E-3</v>
      </c>
      <c r="O10" s="6">
        <v>2.318965753424657E-3</v>
      </c>
    </row>
    <row r="11" spans="1:15" x14ac:dyDescent="0.25">
      <c r="A11" t="s">
        <v>23</v>
      </c>
      <c r="B11">
        <v>14.21</v>
      </c>
      <c r="C11">
        <v>14</v>
      </c>
      <c r="D11">
        <v>15</v>
      </c>
      <c r="E11">
        <v>15</v>
      </c>
      <c r="F11">
        <v>66.586762551604735</v>
      </c>
      <c r="G11">
        <f t="shared" si="0"/>
        <v>0.62572205278733906</v>
      </c>
      <c r="H11" s="6">
        <v>3.2023406963470342E-2</v>
      </c>
      <c r="I11" s="6">
        <v>1.132364346590909E-2</v>
      </c>
      <c r="J11" s="6">
        <v>1.0051138009049771E-2</v>
      </c>
      <c r="K11" s="6">
        <v>8.2760106060606083E-3</v>
      </c>
    </row>
    <row r="12" spans="1:15" x14ac:dyDescent="0.25">
      <c r="A12" t="s">
        <v>24</v>
      </c>
      <c r="B12">
        <v>105.3226571767497</v>
      </c>
      <c r="C12">
        <v>105</v>
      </c>
      <c r="D12">
        <v>107</v>
      </c>
      <c r="E12">
        <v>108</v>
      </c>
      <c r="F12">
        <v>56.177528988404639</v>
      </c>
      <c r="G12">
        <f t="shared" si="0"/>
        <v>0.78130990531144051</v>
      </c>
      <c r="H12" s="6">
        <v>4.540241992882563E-3</v>
      </c>
      <c r="I12" s="6">
        <v>1.8404571022727269E-2</v>
      </c>
      <c r="J12" s="6">
        <v>1.8230440045248871E-2</v>
      </c>
      <c r="K12" s="6">
        <v>2.7593484848484811E-4</v>
      </c>
    </row>
    <row r="13" spans="1:15" x14ac:dyDescent="0.25">
      <c r="A13" t="s">
        <v>25</v>
      </c>
      <c r="B13">
        <v>1008.55</v>
      </c>
      <c r="C13">
        <v>1010</v>
      </c>
      <c r="D13">
        <v>1015</v>
      </c>
      <c r="E13">
        <v>1024</v>
      </c>
      <c r="F13">
        <v>5.3287151135682409</v>
      </c>
      <c r="G13">
        <f t="shared" si="0"/>
        <v>1.7320508075688772</v>
      </c>
      <c r="H13" s="6">
        <v>0</v>
      </c>
      <c r="I13" s="6">
        <v>2.1713382352941111E-3</v>
      </c>
      <c r="J13" s="6">
        <v>0</v>
      </c>
      <c r="K13" s="6">
        <v>0</v>
      </c>
    </row>
    <row r="14" spans="1:15" x14ac:dyDescent="0.25">
      <c r="A14" t="s">
        <v>26</v>
      </c>
      <c r="B14">
        <v>110.74412532637081</v>
      </c>
      <c r="C14">
        <v>76</v>
      </c>
      <c r="D14">
        <v>212</v>
      </c>
      <c r="E14">
        <v>224</v>
      </c>
      <c r="F14">
        <v>25.529929342754301</v>
      </c>
      <c r="G14">
        <f t="shared" si="0"/>
        <v>1.2148121622495494</v>
      </c>
      <c r="H14" s="6">
        <v>1.5902404891304341E-2</v>
      </c>
      <c r="I14" s="6">
        <v>4.30547256097561E-3</v>
      </c>
      <c r="J14" s="6">
        <v>7.551752136752128E-4</v>
      </c>
      <c r="K14" s="6">
        <v>0</v>
      </c>
    </row>
    <row r="15" spans="1:15" x14ac:dyDescent="0.25">
      <c r="A15" t="s">
        <v>27</v>
      </c>
      <c r="B15">
        <v>82.597014925373131</v>
      </c>
      <c r="C15">
        <v>62</v>
      </c>
      <c r="D15">
        <v>107</v>
      </c>
      <c r="E15">
        <v>107</v>
      </c>
      <c r="F15">
        <v>22.31250832556281</v>
      </c>
      <c r="G15">
        <f t="shared" si="0"/>
        <v>1.3949261844747411</v>
      </c>
      <c r="H15" s="6">
        <v>2.0322018072289161E-3</v>
      </c>
      <c r="I15" s="6">
        <v>0</v>
      </c>
      <c r="J15" s="6">
        <v>9.9015517241379304E-4</v>
      </c>
      <c r="K15" s="6">
        <v>0</v>
      </c>
      <c r="L15" s="6">
        <v>1.179765957446808E-3</v>
      </c>
      <c r="M15" s="6">
        <v>0</v>
      </c>
      <c r="N15" s="6">
        <v>0</v>
      </c>
      <c r="O15" s="6">
        <v>0</v>
      </c>
    </row>
    <row r="16" spans="1:15" x14ac:dyDescent="0.25">
      <c r="A16" t="s">
        <v>28</v>
      </c>
      <c r="B16">
        <v>14.374000000000001</v>
      </c>
      <c r="C16">
        <v>14</v>
      </c>
      <c r="D16">
        <v>15</v>
      </c>
      <c r="E16">
        <v>15</v>
      </c>
      <c r="F16">
        <v>66.600066600066597</v>
      </c>
      <c r="G16">
        <f t="shared" si="0"/>
        <v>0.83557684364635632</v>
      </c>
      <c r="H16" s="6">
        <v>1.9076625718390802E-2</v>
      </c>
      <c r="I16" s="6">
        <v>1.1340841954022979E-2</v>
      </c>
      <c r="J16" s="6">
        <v>3.094896352313168E-3</v>
      </c>
      <c r="K16" s="6">
        <v>9.0610563380281691E-4</v>
      </c>
    </row>
    <row r="17" spans="1:11" x14ac:dyDescent="0.25">
      <c r="A17" t="s">
        <v>29</v>
      </c>
      <c r="B17">
        <v>98.246887966804977</v>
      </c>
      <c r="C17">
        <v>75</v>
      </c>
      <c r="D17">
        <v>212</v>
      </c>
      <c r="E17">
        <v>213</v>
      </c>
      <c r="F17">
        <v>64.198188598827912</v>
      </c>
      <c r="G17">
        <f t="shared" si="0"/>
        <v>0.89985231408949773</v>
      </c>
      <c r="H17" s="6">
        <v>1.7559094202898539E-2</v>
      </c>
      <c r="I17" s="6">
        <v>1.8464737547892709E-2</v>
      </c>
      <c r="J17" s="6">
        <v>1.3872508896797131E-4</v>
      </c>
      <c r="K17" s="6">
        <v>1.8162764084507039E-3</v>
      </c>
    </row>
    <row r="18" spans="1:11" x14ac:dyDescent="0.25">
      <c r="A18" t="s">
        <v>30</v>
      </c>
      <c r="B18">
        <v>922.67777777777781</v>
      </c>
      <c r="C18">
        <v>680</v>
      </c>
      <c r="D18">
        <v>2010</v>
      </c>
      <c r="E18">
        <v>2892</v>
      </c>
      <c r="F18">
        <v>5.9952038369304557</v>
      </c>
      <c r="G18">
        <f t="shared" si="0"/>
        <v>1.7320508075688774</v>
      </c>
      <c r="H18" s="6">
        <v>0</v>
      </c>
      <c r="I18" s="6">
        <v>1.949444444444442E-3</v>
      </c>
      <c r="J18" s="6">
        <v>0</v>
      </c>
      <c r="K18" s="6">
        <v>0</v>
      </c>
    </row>
    <row r="19" spans="1:11" x14ac:dyDescent="0.25">
      <c r="A19" t="s">
        <v>31</v>
      </c>
      <c r="B19">
        <v>14.385999999999999</v>
      </c>
      <c r="C19">
        <v>14</v>
      </c>
      <c r="D19">
        <v>15</v>
      </c>
      <c r="E19">
        <v>15</v>
      </c>
      <c r="F19">
        <v>66.635570067301927</v>
      </c>
      <c r="G19">
        <f t="shared" si="0"/>
        <v>0.92069991079334079</v>
      </c>
      <c r="H19" s="6">
        <v>2.229576257431266E-2</v>
      </c>
      <c r="I19" s="6">
        <v>1.1123577284229139E-2</v>
      </c>
      <c r="J19" s="6">
        <v>2.464835257543299E-3</v>
      </c>
      <c r="K19" s="6">
        <v>9.8416769024178233E-4</v>
      </c>
    </row>
    <row r="20" spans="1:11" x14ac:dyDescent="0.25">
      <c r="A20" t="s">
        <v>32</v>
      </c>
      <c r="B20">
        <v>97.516062176165804</v>
      </c>
      <c r="C20">
        <v>76</v>
      </c>
      <c r="D20">
        <v>226</v>
      </c>
      <c r="E20">
        <v>273</v>
      </c>
      <c r="F20">
        <v>64.307610289217649</v>
      </c>
      <c r="G20">
        <f t="shared" si="0"/>
        <v>0.70301443736339819</v>
      </c>
      <c r="H20" s="6">
        <v>2.458899015746718E-2</v>
      </c>
      <c r="I20" s="6">
        <v>7.8637068338552659E-3</v>
      </c>
      <c r="J20" s="6">
        <v>7.6174315914469782E-3</v>
      </c>
      <c r="K20" s="6">
        <v>4.6098348572086211E-3</v>
      </c>
    </row>
    <row r="21" spans="1:11" x14ac:dyDescent="0.25">
      <c r="A21" t="s">
        <v>33</v>
      </c>
      <c r="B21">
        <v>885.01190476190482</v>
      </c>
      <c r="C21">
        <v>740</v>
      </c>
      <c r="D21">
        <v>2299</v>
      </c>
      <c r="E21">
        <v>2725</v>
      </c>
      <c r="F21">
        <v>5.5992534328756163</v>
      </c>
      <c r="G21">
        <f t="shared" si="0"/>
        <v>1.0392299481526699</v>
      </c>
      <c r="H21" s="6">
        <v>0.1276574756291089</v>
      </c>
      <c r="I21" s="6">
        <v>4.2716085064549887E-2</v>
      </c>
      <c r="J21" s="6">
        <v>9.1645771025248169E-3</v>
      </c>
      <c r="K21" s="6">
        <v>7.8905962557846605E-3</v>
      </c>
    </row>
    <row r="22" spans="1:11" x14ac:dyDescent="0.25">
      <c r="A22" t="s">
        <v>34</v>
      </c>
      <c r="B22">
        <v>98.669791666666669</v>
      </c>
      <c r="C22">
        <v>76</v>
      </c>
      <c r="D22">
        <v>273</v>
      </c>
      <c r="E22">
        <v>392</v>
      </c>
      <c r="F22">
        <v>63.974410235905637</v>
      </c>
      <c r="G22">
        <f t="shared" si="0"/>
        <v>0.80402240095919975</v>
      </c>
      <c r="H22" s="6">
        <v>3.7416206241212932E-2</v>
      </c>
      <c r="I22" s="6">
        <v>1.2792931797014091E-2</v>
      </c>
      <c r="J22" s="6">
        <v>9.2946715684385055E-3</v>
      </c>
      <c r="K22" s="6">
        <v>4.1379470180974024E-3</v>
      </c>
    </row>
    <row r="23" spans="1:11" x14ac:dyDescent="0.25">
      <c r="A23" t="s">
        <v>35</v>
      </c>
      <c r="B23">
        <v>458.14893617021278</v>
      </c>
      <c r="C23">
        <v>376</v>
      </c>
      <c r="D23">
        <v>1644</v>
      </c>
      <c r="E23">
        <v>1994</v>
      </c>
      <c r="F23">
        <v>12.52498334443704</v>
      </c>
      <c r="G23">
        <f t="shared" si="0"/>
        <v>1.0137974093006359</v>
      </c>
      <c r="H23" s="6">
        <v>7.7576985261250578E-2</v>
      </c>
      <c r="I23" s="6">
        <v>1.526814259291139E-2</v>
      </c>
      <c r="J23" s="6">
        <v>1.6200520996715661E-2</v>
      </c>
      <c r="K23" s="6">
        <v>4.4825555302888832E-3</v>
      </c>
    </row>
    <row r="24" spans="1:11" x14ac:dyDescent="0.25">
      <c r="A24" t="s">
        <v>36</v>
      </c>
      <c r="B24">
        <v>1070.277936962751</v>
      </c>
      <c r="C24">
        <v>925</v>
      </c>
      <c r="D24">
        <v>2652</v>
      </c>
      <c r="E24">
        <v>4197</v>
      </c>
      <c r="F24">
        <v>6.9790229367888497</v>
      </c>
      <c r="G24">
        <f t="shared" si="0"/>
        <v>0.55439155725508893</v>
      </c>
      <c r="H24" s="6">
        <v>2.8225550335341101E-2</v>
      </c>
      <c r="I24" s="6">
        <v>2.636272008315662E-2</v>
      </c>
      <c r="J24" s="6">
        <v>1.299655600351261E-2</v>
      </c>
      <c r="K24" s="6">
        <v>4.0449711302387873E-3</v>
      </c>
    </row>
    <row r="25" spans="1:11" x14ac:dyDescent="0.25">
      <c r="A25" t="s">
        <v>37</v>
      </c>
      <c r="B25">
        <v>108.0431137724551</v>
      </c>
      <c r="C25">
        <v>106</v>
      </c>
      <c r="D25">
        <v>198</v>
      </c>
      <c r="E25">
        <v>212</v>
      </c>
      <c r="F25">
        <v>55.62587435880355</v>
      </c>
      <c r="G25">
        <f t="shared" si="0"/>
        <v>6.5232966201127798E-2</v>
      </c>
      <c r="H25" s="6">
        <v>1.314276934352971E-2</v>
      </c>
      <c r="I25" s="6">
        <v>1.272277182497588E-2</v>
      </c>
      <c r="J25" s="6">
        <v>1.105735558585811E-2</v>
      </c>
      <c r="K25" s="6">
        <v>1.193147432080616E-2</v>
      </c>
    </row>
    <row r="26" spans="1:11" x14ac:dyDescent="0.25">
      <c r="A26" t="s">
        <v>38</v>
      </c>
      <c r="B26">
        <v>511.4375</v>
      </c>
      <c r="C26">
        <v>531</v>
      </c>
      <c r="D26">
        <v>953</v>
      </c>
      <c r="E26">
        <v>1200</v>
      </c>
      <c r="F26">
        <v>10.661691210768311</v>
      </c>
      <c r="G26">
        <f t="shared" si="0"/>
        <v>0.26518873409335619</v>
      </c>
      <c r="H26" s="6">
        <v>2.295077290263588E-2</v>
      </c>
      <c r="I26" s="6">
        <v>2.799161927679544E-2</v>
      </c>
      <c r="J26" s="6">
        <v>2.216483166439167E-2</v>
      </c>
      <c r="K26" s="6">
        <v>1.2347234744313569E-2</v>
      </c>
    </row>
    <row r="27" spans="1:11" x14ac:dyDescent="0.25">
      <c r="A27" t="s">
        <v>39</v>
      </c>
      <c r="B27">
        <v>1307.327731092437</v>
      </c>
      <c r="C27">
        <v>1268</v>
      </c>
      <c r="D27">
        <v>2434</v>
      </c>
      <c r="E27">
        <v>2494</v>
      </c>
      <c r="F27">
        <v>4.7591433541962447</v>
      </c>
      <c r="G27">
        <f t="shared" si="0"/>
        <v>0.35523682002823764</v>
      </c>
      <c r="H27" s="6">
        <v>2.8296747732351031E-2</v>
      </c>
      <c r="I27" s="6">
        <v>1.2344483999329621E-2</v>
      </c>
      <c r="J27" s="6">
        <v>1.2855838419333229E-2</v>
      </c>
      <c r="K27" s="6">
        <v>2.3067280309175091E-2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RoundRobin</vt:lpstr>
      <vt:lpstr>WeightRoundRobin</vt:lpstr>
      <vt:lpstr>LeastConnections</vt:lpstr>
      <vt:lpstr>ConsistentHashing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Гоша Погребицкий</cp:lastModifiedBy>
  <dcterms:created xsi:type="dcterms:W3CDTF">2026-06-24T02:41:19Z</dcterms:created>
  <dcterms:modified xsi:type="dcterms:W3CDTF">2026-06-24T02:51:03Z</dcterms:modified>
</cp:coreProperties>
</file>